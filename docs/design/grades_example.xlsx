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s" sheetId="1" state="visible" r:id="rId1"/>
    <sheet name="Details" sheetId="2" state="visible" r:id="rId2"/>
    <sheet name="Rubric"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1"/>
    </font>
    <font>
      <name val="Arial"/>
      <b val="1"/>
      <sz val="11"/>
    </font>
    <font>
      <name val="Arial"/>
      <i val="1"/>
      <color rgb="00625C77"/>
      <sz val="10"/>
    </font>
  </fonts>
  <fills count="4">
    <fill>
      <patternFill/>
    </fill>
    <fill>
      <patternFill patternType="gray125"/>
    </fill>
    <fill>
      <patternFill patternType="solid">
        <fgColor rgb="003B2F63"/>
      </patternFill>
    </fill>
    <fill>
      <patternFill patternType="solid">
        <fgColor rgb="00FFF7D6"/>
      </patternFill>
    </fill>
  </fills>
  <borders count="2">
    <border>
      <left/>
      <right/>
      <top/>
      <bottom/>
      <diagonal/>
    </border>
    <border>
      <left style="thin">
        <color rgb="00DBD7E5"/>
      </left>
      <right style="thin">
        <color rgb="00DBD7E5"/>
      </right>
      <top style="thin">
        <color rgb="00DBD7E5"/>
      </top>
      <bottom style="thin">
        <color rgb="00DBD7E5"/>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4" fillId="0" borderId="0" pivotButton="0" quotePrefix="0" xfId="0"/>
    <xf numFmtId="0" fontId="2" fillId="3" borderId="1" applyAlignment="1" pivotButton="0" quotePrefix="0" xfId="0">
      <alignment horizontal="center" vertical="top"/>
    </xf>
    <xf numFmtId="0" fontId="3"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dxfs count="1">
    <dxf>
      <fill>
        <patternFill patternType="solid">
          <fgColor rgb="00FBEF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EasyGrade</author>
  </authors>
  <commentList>
    <comment ref="E3" authorId="0" shapeId="0">
      <text>
        <t>The tool's suggested score. The professor can change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70" customWidth="1" min="3" max="3"/>
    <col width="55" customWidth="1" min="4" max="4"/>
  </cols>
  <sheetData>
    <row r="1" ht="30" customHeight="1">
      <c r="A1" s="1" t="inlineStr">
        <is>
          <t>Student name</t>
        </is>
      </c>
      <c r="B1" s="1" t="inlineStr">
        <is>
          <t>Score (out of 200)</t>
        </is>
      </c>
      <c r="C1" s="1" t="inlineStr">
        <is>
          <t>Needs your attention</t>
        </is>
      </c>
      <c r="D1" s="1" t="inlineStr">
        <is>
          <t>AI usage</t>
        </is>
      </c>
    </row>
    <row r="2">
      <c r="A2" s="2" t="inlineStr">
        <is>
          <t>Noah Kim</t>
        </is>
      </c>
      <c r="B2" s="3">
        <f>SUMIFS(Details!$E$4:$E$36,Details!$B$4:$B$36,"*"&amp;A2&amp;"*")</f>
        <v/>
      </c>
      <c r="C2" s="2" t="inlineStr">
        <is>
          <t>No video in the team's folder; you entered the Presentation score</t>
        </is>
      </c>
      <c r="D2" s="2" t="inlineStr">
        <is>
          <t>No concern</t>
        </is>
      </c>
    </row>
    <row r="3">
      <c r="A3" s="2" t="inlineStr">
        <is>
          <t>Emma Lopez</t>
        </is>
      </c>
      <c r="B3" s="3">
        <f>SUMIFS(Details!$E$4:$E$36,Details!$B$4:$B$36,"*"&amp;A3&amp;"*")</f>
        <v/>
      </c>
      <c r="C3" s="2" t="inlineStr">
        <is>
          <t>No video in the team's folder; you entered the Presentation score</t>
        </is>
      </c>
      <c r="D3" s="2" t="inlineStr">
        <is>
          <t>No concern</t>
        </is>
      </c>
    </row>
    <row r="4">
      <c r="A4" s="2" t="inlineStr">
        <is>
          <t>Luis Gomez</t>
        </is>
      </c>
      <c r="B4" s="3">
        <f>SUMIFS(Details!$E$4:$E$36,Details!$B$4:$B$36,"*"&amp;A4&amp;"*")</f>
        <v/>
      </c>
      <c r="C4" s="2" t="inlineStr">
        <is>
          <t>Notebook has an error in cell 5 and cells were run out of order; only one partner speaks in the video</t>
        </is>
      </c>
      <c r="D4" s="2" t="inlineStr">
        <is>
          <t>Review: leftover chatbot text, a column that does not exist, presenter can't explain the code</t>
        </is>
      </c>
    </row>
    <row r="5">
      <c r="A5" s="2" t="inlineStr">
        <is>
          <t>Tara Brooks</t>
        </is>
      </c>
      <c r="B5" s="3">
        <f>SUMIFS(Details!$E$4:$E$36,Details!$B$4:$B$36,"*"&amp;A5&amp;"*")</f>
        <v/>
      </c>
      <c r="C5" s="2" t="inlineStr">
        <is>
          <t>Notebook has an error in cell 5 and cells were run out of order; only one partner speaks in the video</t>
        </is>
      </c>
      <c r="D5" s="2" t="inlineStr">
        <is>
          <t>Review: leftover chatbot text, a column that does not exist, presenter can't explain the code</t>
        </is>
      </c>
    </row>
    <row r="6">
      <c r="A6" s="2" t="inlineStr">
        <is>
          <t>Priya Patel</t>
        </is>
      </c>
      <c r="B6" s="3">
        <f>SUMIFS(Details!$E$4:$E$36,Details!$B$4:$B$36,"*"&amp;A6&amp;"*")</f>
        <v/>
      </c>
      <c r="C6" s="2" t="inlineStr">
        <is>
          <t>Hidden text in the notebook asks for full marks (ignored); file name and header don't follow the rules; second partner barely speaks</t>
        </is>
      </c>
      <c r="D6" s="2" t="inlineStr">
        <is>
          <t>No concern</t>
        </is>
      </c>
    </row>
    <row r="7">
      <c r="A7" s="2" t="inlineStr">
        <is>
          <t>David Okafor</t>
        </is>
      </c>
      <c r="B7" s="3">
        <f>SUMIFS(Details!$E$4:$E$36,Details!$B$4:$B$36,"*"&amp;A7&amp;"*")</f>
        <v/>
      </c>
      <c r="C7" s="2" t="inlineStr">
        <is>
          <t>Hidden text in the notebook asks for full marks (ignored); file name and header don't follow the rules; second partner barely speaks</t>
        </is>
      </c>
      <c r="D7" s="2" t="inlineStr">
        <is>
          <t>No concern</t>
        </is>
      </c>
    </row>
    <row r="8">
      <c r="A8" s="2" t="inlineStr">
        <is>
          <t>Ana Rivera</t>
        </is>
      </c>
      <c r="B8" s="3">
        <f>SUMIFS(Details!$E$4:$E$36,Details!$B$4:$B$36,"*"&amp;A8&amp;"*")</f>
        <v/>
      </c>
      <c r="C8" s="2" t="inlineStr">
        <is>
          <t>Confirm who presented Q3 and Q4</t>
        </is>
      </c>
      <c r="D8" s="2" t="inlineStr">
        <is>
          <t>No concern</t>
        </is>
      </c>
    </row>
    <row r="9">
      <c r="A9" s="2" t="inlineStr">
        <is>
          <t>Marcus Chen</t>
        </is>
      </c>
      <c r="B9" s="3">
        <f>SUMIFS(Details!$E$4:$E$36,Details!$B$4:$B$36,"*"&amp;A9&amp;"*")</f>
        <v/>
      </c>
      <c r="C9" s="2" t="inlineStr">
        <is>
          <t>Confirm who presented Q3 and Q4</t>
        </is>
      </c>
      <c r="D9" s="2" t="inlineStr">
        <is>
          <t>No concern</t>
        </is>
      </c>
    </row>
    <row r="11">
      <c r="A11" s="4" t="inlineStr">
        <is>
          <t>Grades are suggestions until the professor reviews them. The breakdown behind each score is on the Details tab.</t>
        </is>
      </c>
    </row>
  </sheetData>
  <conditionalFormatting sqref="D2:D9">
    <cfRule type="expression" priority="1" dxfId="0">
      <formula>LEFT($D2,6)="Review"</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32" customWidth="1" min="3" max="3"/>
    <col width="13" customWidth="1" min="4" max="4"/>
    <col width="8" customWidth="1" min="5" max="5"/>
    <col width="8" customWidth="1" min="6" max="6"/>
    <col width="60" customWidth="1" min="7" max="7"/>
    <col width="60" customWidth="1" min="8" max="8"/>
  </cols>
  <sheetData>
    <row r="1">
      <c r="A1" s="4" t="inlineStr">
        <is>
          <t>Yellow cells can be changed. Change a score and its level, the team total and the Grades tab update.</t>
        </is>
      </c>
    </row>
    <row r="3">
      <c r="A3" s="1" t="inlineStr">
        <is>
          <t>Team</t>
        </is>
      </c>
      <c r="B3" s="1" t="inlineStr">
        <is>
          <t>Students</t>
        </is>
      </c>
      <c r="C3" s="1" t="inlineStr">
        <is>
          <t>Category</t>
        </is>
      </c>
      <c r="D3" s="1" t="inlineStr">
        <is>
          <t>Level</t>
        </is>
      </c>
      <c r="E3" s="1" t="inlineStr">
        <is>
          <t>Score</t>
        </is>
      </c>
      <c r="F3" s="1" t="inlineStr">
        <is>
          <t>Out of</t>
        </is>
      </c>
      <c r="G3" s="1" t="inlineStr">
        <is>
          <t>Why this score</t>
        </is>
      </c>
      <c r="H3" s="1" t="inlineStr">
        <is>
          <t>Evidence</t>
        </is>
      </c>
    </row>
    <row r="4">
      <c r="A4" s="2" t="inlineStr">
        <is>
          <t>team-04</t>
        </is>
      </c>
      <c r="B4" s="2" t="inlineStr">
        <is>
          <t>Noah Kim, Emma Lopez</t>
        </is>
      </c>
      <c r="C4" s="2" t="inlineStr">
        <is>
          <t>Data Cleaning &amp; Preparation</t>
        </is>
      </c>
      <c r="D4" s="2">
        <f>IF(E4&gt;=INDEX(Rubric!$C$2:$C$7,MATCH(C4,Rubric!$A$2:$A$7,0)),"Excellent",IF(E4&gt;=INDEX(Rubric!$D$2:$D$7,MATCH(C4,Rubric!$A$2:$A$7,0)),"Good","Needs Work"))</f>
        <v/>
      </c>
      <c r="E4" s="5" t="n">
        <v>33</v>
      </c>
      <c r="F4" s="3">
        <f>INDEX(Rubric!$B$2:$B$7,MATCH(C4,Rubric!$A$2:$A$7,0))</f>
        <v/>
      </c>
      <c r="G4" s="2" t="inlineStr">
        <is>
          <t>Duplicates, types and missing values are handled; one decision is not explained.</t>
        </is>
      </c>
      <c r="H4" s="2" t="inlineStr">
        <is>
          <t>Cell 7: "Dropped 52 rows with no ZIP code"</t>
        </is>
      </c>
    </row>
    <row r="5">
      <c r="A5" s="2" t="inlineStr">
        <is>
          <t>team-04</t>
        </is>
      </c>
      <c r="B5" s="2" t="inlineStr">
        <is>
          <t>Noah Kim, Emma Lopez</t>
        </is>
      </c>
      <c r="C5" s="2" t="inlineStr">
        <is>
          <t>Analysis &amp; Visualizations</t>
        </is>
      </c>
      <c r="D5" s="2">
        <f>IF(E5&gt;=INDEX(Rubric!$C$2:$C$7,MATCH(C5,Rubric!$A$2:$A$7,0)),"Excellent",IF(E5&gt;=INDEX(Rubric!$D$2:$D$7,MATCH(C5,Rubric!$A$2:$A$7,0)),"Good","Needs Work"))</f>
        <v/>
      </c>
      <c r="E5" s="5" t="n">
        <v>43</v>
      </c>
      <c r="F5" s="3">
        <f>INDEX(Rubric!$B$2:$B$7,MATCH(C5,Rubric!$A$2:$A$7,0))</f>
        <v/>
      </c>
      <c r="G5" s="2" t="inlineStr">
        <is>
          <t>All four questions answered; one chart could use a legend.</t>
        </is>
      </c>
      <c r="H5" s="2" t="inlineStr">
        <is>
          <t>Cell 14: bar chart of fail rate by ZIP code</t>
        </is>
      </c>
    </row>
    <row r="6">
      <c r="A6" s="2" t="inlineStr">
        <is>
          <t>team-04</t>
        </is>
      </c>
      <c r="B6" s="2" t="inlineStr">
        <is>
          <t>Noah Kim, Emma Lopez</t>
        </is>
      </c>
      <c r="C6" s="2" t="inlineStr">
        <is>
          <t>Interpretation &amp; Written Summaries</t>
        </is>
      </c>
      <c r="D6" s="2">
        <f>IF(E6&gt;=INDEX(Rubric!$C$2:$C$7,MATCH(C6,Rubric!$A$2:$A$7,0)),"Excellent",IF(E6&gt;=INDEX(Rubric!$D$2:$D$7,MATCH(C6,Rubric!$A$2:$A$7,0)),"Good","Needs Work"))</f>
        <v/>
      </c>
      <c r="E6" s="5" t="n">
        <v>24</v>
      </c>
      <c r="F6" s="3">
        <f>INDEX(Rubric!$B$2:$B$7,MATCH(C6,Rubric!$A$2:$A$7,0))</f>
        <v/>
      </c>
      <c r="G6" s="2" t="inlineStr">
        <is>
          <t>Summaries explain the results, though Q4's is brief.</t>
        </is>
      </c>
      <c r="H6" s="2" t="inlineStr">
        <is>
          <t>Cell 20: "Seafood restaurants average 4.7 violations per inspection"</t>
        </is>
      </c>
    </row>
    <row r="7">
      <c r="A7" s="2" t="inlineStr">
        <is>
          <t>team-04</t>
        </is>
      </c>
      <c r="B7" s="2" t="inlineStr">
        <is>
          <t>Noah Kim, Emma Lopez</t>
        </is>
      </c>
      <c r="C7" s="2" t="inlineStr">
        <is>
          <t>Code Quality &amp; Organization</t>
        </is>
      </c>
      <c r="D7" s="2">
        <f>IF(E7&gt;=INDEX(Rubric!$C$2:$C$7,MATCH(C7,Rubric!$A$2:$A$7,0)),"Excellent",IF(E7&gt;=INDEX(Rubric!$D$2:$D$7,MATCH(C7,Rubric!$A$2:$A$7,0)),"Good","Needs Work"))</f>
        <v/>
      </c>
      <c r="E7" s="5" t="n">
        <v>21</v>
      </c>
      <c r="F7" s="3">
        <f>INDEX(Rubric!$B$2:$B$7,MATCH(C7,Rubric!$A$2:$A$7,0))</f>
        <v/>
      </c>
      <c r="G7" s="2" t="inlineStr">
        <is>
          <t>Runs in order with no errors; a few unused imports.</t>
        </is>
      </c>
      <c r="H7" s="2" t="inlineStr">
        <is>
          <t>Execution order: 1 to 11</t>
        </is>
      </c>
    </row>
    <row r="8">
      <c r="A8" s="2" t="inlineStr">
        <is>
          <t>team-04</t>
        </is>
      </c>
      <c r="B8" s="2" t="inlineStr">
        <is>
          <t>Noah Kim, Emma Lopez</t>
        </is>
      </c>
      <c r="C8" s="2" t="inlineStr">
        <is>
          <t>Presentation of Findings</t>
        </is>
      </c>
      <c r="D8" s="2">
        <f>IF(E8&gt;=INDEX(Rubric!$C$2:$C$7,MATCH(C8,Rubric!$A$2:$A$7,0)),"Excellent",IF(E8&gt;=INDEX(Rubric!$D$2:$D$7,MATCH(C8,Rubric!$A$2:$A$7,0)),"Good","Needs Work"))</f>
        <v/>
      </c>
      <c r="E8" s="5" t="n">
        <v>28</v>
      </c>
      <c r="F8" s="3">
        <f>INDEX(Rubric!$B$2:$B$7,MATCH(C8,Rubric!$A$2:$A$7,0))</f>
        <v/>
      </c>
      <c r="G8" s="2" t="inlineStr">
        <is>
          <t>Entered by the professor: no video in the team's folder.</t>
        </is>
      </c>
      <c r="H8" s="2" t="inlineStr"/>
    </row>
    <row r="9">
      <c r="A9" s="2" t="inlineStr">
        <is>
          <t>team-04</t>
        </is>
      </c>
      <c r="B9" s="2" t="inlineStr">
        <is>
          <t>Noah Kim, Emma Lopez</t>
        </is>
      </c>
      <c r="C9" s="2" t="inlineStr">
        <is>
          <t>Collaboration &amp; Formatting</t>
        </is>
      </c>
      <c r="D9" s="2">
        <f>IF(E9&gt;=INDEX(Rubric!$C$2:$C$7,MATCH(C9,Rubric!$A$2:$A$7,0)),"Excellent",IF(E9&gt;=INDEX(Rubric!$D$2:$D$7,MATCH(C9,Rubric!$A$2:$A$7,0)),"Good","Needs Work"))</f>
        <v/>
      </c>
      <c r="E9" s="5" t="n">
        <v>17</v>
      </c>
      <c r="F9" s="3">
        <f>INDEX(Rubric!$B$2:$B$7,MATCH(C9,Rubric!$A$2:$A$7,0))</f>
        <v/>
      </c>
      <c r="G9" s="2" t="inlineStr">
        <is>
          <t>Header and file name follow the rules; the Responsibilities line is vague.</t>
        </is>
      </c>
      <c r="H9" s="2" t="inlineStr">
        <is>
          <t>Cell 1: "We both worked on everything"</t>
        </is>
      </c>
    </row>
    <row r="10">
      <c r="A10" s="6" t="inlineStr">
        <is>
          <t>team-04</t>
        </is>
      </c>
      <c r="B10" s="2" t="n"/>
      <c r="C10" s="6" t="inlineStr">
        <is>
          <t>Team total</t>
        </is>
      </c>
      <c r="D10" s="2" t="n"/>
      <c r="E10" s="7">
        <f>SUM(E4:E9)</f>
        <v/>
      </c>
      <c r="F10" s="7">
        <f>SUM(F4:F9)</f>
        <v/>
      </c>
      <c r="G10" s="2" t="n"/>
      <c r="H10" s="2" t="n"/>
    </row>
    <row r="12">
      <c r="A12" s="2" t="inlineStr">
        <is>
          <t>team-03</t>
        </is>
      </c>
      <c r="B12" s="2" t="inlineStr">
        <is>
          <t>Luis Gomez, Tara Brooks</t>
        </is>
      </c>
      <c r="C12" s="2" t="inlineStr">
        <is>
          <t>Data Cleaning &amp; Preparation</t>
        </is>
      </c>
      <c r="D12" s="2">
        <f>IF(E12&gt;=INDEX(Rubric!$C$2:$C$7,MATCH(C12,Rubric!$A$2:$A$7,0)),"Excellent",IF(E12&gt;=INDEX(Rubric!$D$2:$D$7,MATCH(C12,Rubric!$A$2:$A$7,0)),"Good","Needs Work"))</f>
        <v/>
      </c>
      <c r="E12" s="5" t="n">
        <v>7</v>
      </c>
      <c r="F12" s="3">
        <f>INDEX(Rubric!$B$2:$B$7,MATCH(C12,Rubric!$A$2:$A$7,0))</f>
        <v/>
      </c>
      <c r="G12" s="2" t="inlineStr">
        <is>
          <t>The only cleaning cell fails with a NameError, so no duplicates are removed and no types are converted, there is no Markdown rationale and no final row count, and only the missing-value check succeeded, which puts it well below the middle of the range.</t>
        </is>
      </c>
      <c r="H12" s="2" t="inlineStr">
        <is>
          <t>Cell 5: 'df_clean = df_raw.drop_duplicates()' -&gt; NameError: name 'df_raw' is not defined | Cell 4 output: zip_code shown as '33135.0' (float, not a 5-character string), score contains 'pending', result contains lowercase 'pass'</t>
        </is>
      </c>
    </row>
    <row r="13">
      <c r="A13" s="2" t="inlineStr">
        <is>
          <t>team-03</t>
        </is>
      </c>
      <c r="B13" s="2" t="inlineStr">
        <is>
          <t>Luis Gomez, Tara Brooks</t>
        </is>
      </c>
      <c r="C13" s="2" t="inlineStr">
        <is>
          <t>Analysis &amp; Visualizations</t>
        </is>
      </c>
      <c r="D13" s="2">
        <f>IF(E13&gt;=INDEX(Rubric!$C$2:$C$7,MATCH(C13,Rubric!$A$2:$A$7,0)),"Excellent",IF(E13&gt;=INDEX(Rubric!$D$2:$D$7,MATCH(C13,Rubric!$A$2:$A$7,0)),"Good","Needs Work"))</f>
        <v/>
      </c>
      <c r="E13" s="5" t="n">
        <v>8</v>
      </c>
      <c r="F13" s="3">
        <f>INDEX(Rubric!$B$2:$B$7,MATCH(C13,Rubric!$A$2:$A$7,0))</f>
        <v/>
      </c>
      <c r="G13" s="2" t="inlineStr">
        <is>
          <t>Only Q2 is attempted, and it plots fail counts instead of fail rates on a chart with no title or axis labels, while Q3 is an empty cell and Q4 is missing, so all three needs-work descriptors apply.</t>
        </is>
      </c>
      <c r="H13" s="2" t="inlineStr">
        <is>
          <t>Cell 9: 'df[df["result"] == "Fail"].groupby("zip_code").size()' counts fails, it does not compute the share of inspections that failed | images/cell9_1.png: no title, no x or y axis labels, ZIP codes shown as floats such as '33054.0'</t>
        </is>
      </c>
    </row>
    <row r="14">
      <c r="A14" s="2" t="inlineStr">
        <is>
          <t>team-03</t>
        </is>
      </c>
      <c r="B14" s="2" t="inlineStr">
        <is>
          <t>Luis Gomez, Tara Brooks</t>
        </is>
      </c>
      <c r="C14" s="2" t="inlineStr">
        <is>
          <t>Interpretation &amp; Written Summaries</t>
        </is>
      </c>
      <c r="D14" s="2">
        <f>IF(E14&gt;=INDEX(Rubric!$C$2:$C$7,MATCH(C14,Rubric!$A$2:$A$7,0)),"Excellent",IF(E14&gt;=INDEX(Rubric!$D$2:$D$7,MATCH(C14,Rubric!$A$2:$A$7,0)),"Good","Needs Work"))</f>
        <v/>
      </c>
      <c r="E14" s="5" t="n">
        <v>4</v>
      </c>
      <c r="F14" s="3">
        <f>INDEX(Rubric!$B$2:$B$7,MATCH(C14,Rubric!$A$2:$A$7,0))</f>
        <v/>
      </c>
      <c r="G14" s="2" t="inlineStr">
        <is>
          <t>There is one written summary for four questions, and it relies on a customer_satisfaction_score column that is not in the dataset or any output, so it does not show the chart's results were interpreted.</t>
        </is>
      </c>
      <c r="H14" s="2" t="inlineStr">
        <is>
          <t>Cell 10: 'zip codes with lower `customer_satisfaction_score` values tend to have more failed inspections' | Cell 4 output columns: inspection_id, restaurant_name, zip_code, inspection_date, cuisine, score, violations, result (no satisfaction column)</t>
        </is>
      </c>
    </row>
    <row r="15">
      <c r="A15" s="2" t="inlineStr">
        <is>
          <t>team-03</t>
        </is>
      </c>
      <c r="B15" s="2" t="inlineStr">
        <is>
          <t>Luis Gomez, Tara Brooks</t>
        </is>
      </c>
      <c r="C15" s="2" t="inlineStr">
        <is>
          <t>Code Quality &amp; Organization</t>
        </is>
      </c>
      <c r="D15" s="2">
        <f>IF(E15&gt;=INDEX(Rubric!$C$2:$C$7,MATCH(C15,Rubric!$A$2:$A$7,0)),"Excellent",IF(E15&gt;=INDEX(Rubric!$D$2:$D$7,MATCH(C15,Rubric!$A$2:$A$7,0)),"Good","Needs Work"))</f>
        <v/>
      </c>
      <c r="E15" s="5" t="n">
        <v>6</v>
      </c>
      <c r="F15" s="3">
        <f>INDEX(Rubric!$B$2:$B$7,MATCH(C15,Rubric!$A$2:$A$7,0))</f>
        <v/>
      </c>
      <c r="G15" s="2" t="inlineStr">
        <is>
          <t>The notebook has a few headings, but it has an error cell, cells run out of order, an empty Q3 cell, leftover chatbot text in a heading cell, almost no comments and no Q1 or Q4 sections, so it does not run cleanly top to bottom.</t>
        </is>
      </c>
      <c r="H15" s="2" t="inlineStr">
        <is>
          <t>facts.json rule_flags: cell 5 NameError; execution counts [7, 2, 12, 5, 9]; cell 6 output with no execution count | Cell 2: 'Certainly! Here's a comprehensive analysis of the dataset:' left above the title heading</t>
        </is>
      </c>
    </row>
    <row r="16">
      <c r="A16" s="2" t="inlineStr">
        <is>
          <t>team-03</t>
        </is>
      </c>
      <c r="B16" s="2" t="inlineStr">
        <is>
          <t>Luis Gomez, Tara Brooks</t>
        </is>
      </c>
      <c r="C16" s="2" t="inlineStr">
        <is>
          <t>Presentation of Findings</t>
        </is>
      </c>
      <c r="D16" s="2">
        <f>IF(E16&gt;=INDEX(Rubric!$C$2:$C$7,MATCH(C16,Rubric!$A$2:$A$7,0)),"Excellent",IF(E16&gt;=INDEX(Rubric!$D$2:$D$7,MATCH(C16,Rubric!$A$2:$A$7,0)),"Good","Needs Work"))</f>
        <v/>
      </c>
      <c r="E16" s="5" t="n">
        <v>7</v>
      </c>
      <c r="F16" s="3">
        <f>INDEX(Rubric!$B$2:$B$7,MATCH(C16,Rubric!$A$2:$A$7,0))</f>
        <v/>
      </c>
      <c r="G16" s="2" t="inlineStr">
        <is>
          <t>The 65-second talk follows a clear order and refers to the ZIP code chart, but it is far shorter than the time allowed, appears to have only one presenter, admits not understanding the outlier method, and describes a join and a customer-satisfaction finding that the notebook does not support.</t>
        </is>
      </c>
      <c r="H16" s="2" t="inlineStr">
        <is>
          <t>facts.json media: duration 65.7 s of a 5-minute limit | Transcript [00:56]: '...made the slides, but she couldn't be here for the recording.'</t>
        </is>
      </c>
    </row>
    <row r="17">
      <c r="A17" s="2" t="inlineStr">
        <is>
          <t>team-03</t>
        </is>
      </c>
      <c r="B17" s="2" t="inlineStr">
        <is>
          <t>Luis Gomez, Tara Brooks</t>
        </is>
      </c>
      <c r="C17" s="2" t="inlineStr">
        <is>
          <t>Collaboration &amp; Formatting</t>
        </is>
      </c>
      <c r="D17" s="2">
        <f>IF(E17&gt;=INDEX(Rubric!$C$2:$C$7,MATCH(C17,Rubric!$A$2:$A$7,0)),"Excellent",IF(E17&gt;=INDEX(Rubric!$D$2:$D$7,MATCH(C17,Rubric!$A$2:$A$7,0)),"Good","Needs Work"))</f>
        <v/>
      </c>
      <c r="E17" s="5" t="n">
        <v>18</v>
      </c>
      <c r="F17" s="3">
        <f>INDEX(Rubric!$B$2:$B$7,MATCH(C17,Rubric!$A$2:$A$7,0))</f>
        <v/>
      </c>
      <c r="G17" s="2" t="inlineStr">
        <is>
          <t>The header has all four fields, the file name matches the convention and the responsibilities name a part for each partner, but the score sits at the bottom of the range because the transcript says one partner was absent and that partner's assigned charts and summaries are thin in the notebook.</t>
        </is>
      </c>
      <c r="H17" s="2" t="inlineStr">
        <is>
          <t>facts.json: filename_ok true, header_missing [], students_count 2 | Cell 1: 'Student A: data loading, cleaning, outlier detection. Student B: charts, written summaries, presentation slides.'</t>
        </is>
      </c>
    </row>
    <row r="18">
      <c r="A18" s="6" t="inlineStr">
        <is>
          <t>team-03</t>
        </is>
      </c>
      <c r="B18" s="2" t="n"/>
      <c r="C18" s="6" t="inlineStr">
        <is>
          <t>Team total</t>
        </is>
      </c>
      <c r="D18" s="2" t="n"/>
      <c r="E18" s="7">
        <f>SUM(E12:E17)</f>
        <v/>
      </c>
      <c r="F18" s="7">
        <f>SUM(F12:F17)</f>
        <v/>
      </c>
      <c r="G18" s="2" t="n"/>
      <c r="H18" s="2" t="n"/>
    </row>
    <row r="20">
      <c r="A20" s="2" t="inlineStr">
        <is>
          <t>team-02</t>
        </is>
      </c>
      <c r="B20" s="2" t="inlineStr">
        <is>
          <t>Priya Patel, David Okafor</t>
        </is>
      </c>
      <c r="C20" s="2" t="inlineStr">
        <is>
          <t>Data Cleaning &amp; Preparation</t>
        </is>
      </c>
      <c r="D20" s="2">
        <f>IF(E20&gt;=INDEX(Rubric!$C$2:$C$7,MATCH(C20,Rubric!$A$2:$A$7,0)),"Excellent",IF(E20&gt;=INDEX(Rubric!$D$2:$D$7,MATCH(C20,Rubric!$A$2:$A$7,0)),"Good","Needs Work"))</f>
        <v/>
      </c>
      <c r="E20" s="5" t="n">
        <v>25</v>
      </c>
      <c r="F20" s="3">
        <f>INDEX(Rubric!$B$2:$B$7,MATCH(C20,Rubric!$A$2:$A$7,0))</f>
        <v/>
      </c>
      <c r="G20" s="2" t="inlineStr">
        <is>
          <t>Duplicates, rows with no ZIP code and the date and ZIP conversions are handled and the remaining count is reported, but score stays as text, inconsistent result values are left uncleaned in Q1 and the only explanation is one vague sentence, so this sits at the top of needs_work (25), just below good.</t>
        </is>
      </c>
      <c r="H20" s="2" t="inlineStr">
        <is>
          <t>Cell 6: df = df.drop_duplicates() / df.dropna(subset=["zip_code"]) / pd.to_datetime(df["inspection_date"]) | Cell 6 output: 'score  object' after df["score"].str.strip()  # fix score (score not converted to a number)</t>
        </is>
      </c>
    </row>
    <row r="21">
      <c r="A21" s="2" t="inlineStr">
        <is>
          <t>team-02</t>
        </is>
      </c>
      <c r="B21" s="2" t="inlineStr">
        <is>
          <t>Priya Patel, David Okafor</t>
        </is>
      </c>
      <c r="C21" s="2" t="inlineStr">
        <is>
          <t>Analysis &amp; Visualizations</t>
        </is>
      </c>
      <c r="D21" s="2">
        <f>IF(E21&gt;=INDEX(Rubric!$C$2:$C$7,MATCH(C21,Rubric!$A$2:$A$7,0)),"Excellent",IF(E21&gt;=INDEX(Rubric!$D$2:$D$7,MATCH(C21,Rubric!$A$2:$A$7,0)),"Good","Needs Work"))</f>
        <v/>
      </c>
      <c r="E21" s="5" t="n">
        <v>41</v>
      </c>
      <c r="F21" s="3">
        <f>INDEX(Rubric!$B$2:$B$7,MATCH(C21,Rubric!$A$2:$A$7,0))</f>
        <v/>
      </c>
      <c r="G21" s="2" t="inlineStr">
        <is>
          <t>All four questions are answered with a fitting chart or table and the Q2 bar chart is fully labeled with a sensible sample-size filter, but the Q3 line chart has no axis labels and shows months as bare numbers, so good at 41, above the middle but short of excellent.</t>
        </is>
      </c>
      <c r="H21" s="2" t="inlineStr">
        <is>
          <t>Cell 10 / images/cell10_1.png: bar chart 'Fail Rate by Zip Code', x 'ZIP code', y 'Fail rate (%)', top 10 ZIP codes | Cell 10: top10 = rates[counts &gt;= 25] (only ZIP codes with at least 25 inspections)</t>
        </is>
      </c>
    </row>
    <row r="22">
      <c r="A22" s="2" t="inlineStr">
        <is>
          <t>team-02</t>
        </is>
      </c>
      <c r="B22" s="2" t="inlineStr">
        <is>
          <t>Priya Patel, David Okafor</t>
        </is>
      </c>
      <c r="C22" s="2" t="inlineStr">
        <is>
          <t>Interpretation &amp; Written Summaries</t>
        </is>
      </c>
      <c r="D22" s="2">
        <f>IF(E22&gt;=INDEX(Rubric!$C$2:$C$7,MATCH(C22,Rubric!$A$2:$A$7,0)),"Excellent",IF(E22&gt;=INDEX(Rubric!$D$2:$D$7,MATCH(C22,Rubric!$A$2:$A$7,0)),"Good","Needs Work"))</f>
        <v/>
      </c>
      <c r="E22" s="5" t="n">
        <v>22</v>
      </c>
      <c r="F22" s="3">
        <f>INDEX(Rubric!$B$2:$B$7,MATCH(C22,Rubric!$A$2:$A$7,0))</f>
        <v/>
      </c>
      <c r="G22" s="2" t="inlineStr">
        <is>
          <t>Every question has some written text and the Q2 summary adds geographic context, but Q1 and Q4 only restate numbers and Q3 describes the shape of the line without explaining it, so good near the low end (22).</t>
        </is>
      </c>
      <c r="H22" s="2" t="inlineStr">
        <is>
          <t>Cell 7: 'There are 2432 rows left after cleaning.' | Cell 11: 'Most of the zip codes in the top 10 are in the northern part of the county'</t>
        </is>
      </c>
    </row>
    <row r="23">
      <c r="A23" s="2" t="inlineStr">
        <is>
          <t>team-02</t>
        </is>
      </c>
      <c r="B23" s="2" t="inlineStr">
        <is>
          <t>Priya Patel, David Okafor</t>
        </is>
      </c>
      <c r="C23" s="2" t="inlineStr">
        <is>
          <t>Code Quality &amp; Organization</t>
        </is>
      </c>
      <c r="D23" s="2">
        <f>IF(E23&gt;=INDEX(Rubric!$C$2:$C$7,MATCH(C23,Rubric!$A$2:$A$7,0)),"Excellent",IF(E23&gt;=INDEX(Rubric!$D$2:$D$7,MATCH(C23,Rubric!$A$2:$A$7,0)),"Good","Needs Work"))</f>
        <v/>
      </c>
      <c r="E23" s="5" t="n">
        <v>20</v>
      </c>
      <c r="F23" s="3">
        <f>INDEX(Rubric!$B$2:$B$7,MATCH(C23,Rubric!$A$2:$A$7,0))</f>
        <v/>
      </c>
      <c r="G23" s="2" t="inlineStr">
        <is>
          <t>The notebook has a heading for each question and runs in order with no errors, but comments are sparse, one variable is named v, a '# fix score' line leaves score unconverted and a Markdown cell has no project content, so good at 20.</t>
        </is>
      </c>
      <c r="H23" s="2" t="inlineStr">
        <is>
          <t>facts.json: execution counts 1 to 6 in order, errors [] | Cells 5, 9, 12, 15: headings 'Q1 Cleaning' to 'Q4 Violations per inspection by cuisine'</t>
        </is>
      </c>
    </row>
    <row r="24">
      <c r="A24" s="2" t="inlineStr">
        <is>
          <t>team-02</t>
        </is>
      </c>
      <c r="B24" s="2" t="inlineStr">
        <is>
          <t>Priya Patel, David Okafor</t>
        </is>
      </c>
      <c r="C24" s="2" t="inlineStr">
        <is>
          <t>Presentation of Findings</t>
        </is>
      </c>
      <c r="D24" s="2">
        <f>IF(E24&gt;=INDEX(Rubric!$C$2:$C$7,MATCH(C24,Rubric!$A$2:$A$7,0)),"Excellent",IF(E24&gt;=INDEX(Rubric!$D$2:$D$7,MATCH(C24,Rubric!$A$2:$A$7,0)),"Good","Needs Work"))</f>
        <v/>
      </c>
      <c r="E24" s="5" t="n">
        <v>22</v>
      </c>
      <c r="F24" s="3">
        <f>INDEX(Rubric!$B$2:$B$7,MATCH(C24,Rubric!$A$2:$A$7,0))</f>
        <v/>
      </c>
      <c r="G24" s="2" t="inlineStr">
        <is>
          <t>The talk covers all four findings in order and refers to the charts, but it lasts 68 seconds of a 5-minute limit, the second presenter says only one clear sentence and it explains what was made rather than why, so high needs_work (22), on the border with good.</t>
        </is>
      </c>
      <c r="H24" s="2" t="inlineStr">
        <is>
          <t>facts.json: recording 68.5 s (01:08) against a 5-minute limit | [00:20] 'we made a bar chart of the fail rate by zip code'</t>
        </is>
      </c>
    </row>
    <row r="25">
      <c r="A25" s="2" t="inlineStr">
        <is>
          <t>team-02</t>
        </is>
      </c>
      <c r="B25" s="2" t="inlineStr">
        <is>
          <t>Priya Patel, David Okafor</t>
        </is>
      </c>
      <c r="C25" s="2" t="inlineStr">
        <is>
          <t>Collaboration &amp; Formatting</t>
        </is>
      </c>
      <c r="D25" s="2">
        <f>IF(E25&gt;=INDEX(Rubric!$C$2:$C$7,MATCH(C25,Rubric!$A$2:$A$7,0)),"Excellent",IF(E25&gt;=INDEX(Rubric!$D$2:$D$7,MATCH(C25,Rubric!$A$2:$A$7,0)),"Good","Needs Work"))</f>
        <v/>
      </c>
      <c r="E25" s="5" t="n">
        <v>10</v>
      </c>
      <c r="F25" s="3">
        <f>INDEX(Rubric!$B$2:$B$7,MATCH(C25,Rubric!$A$2:$A$7,0))</f>
        <v/>
      </c>
      <c r="G25" s="2" t="inlineStr">
        <is>
          <t>The header lists both students, the section and the date, but the Responsibilities line is missing and the file name does not follow the convention, so multiple guidelines are missed and contribution is unclear; 10 is above the middle because three of four header fields are present.</t>
        </is>
      </c>
      <c r="H25" s="2" t="inlineStr">
        <is>
          <t>facts.json rule_flags: 'File name does not follow the convention Lastname1_Lastname2_FinalProject.ipynb' | Cell 1: header has Students, 'Section: A' and 'Date: April 28, 2026', no Responsibilities line</t>
        </is>
      </c>
    </row>
    <row r="26">
      <c r="A26" s="6" t="inlineStr">
        <is>
          <t>team-02</t>
        </is>
      </c>
      <c r="B26" s="2" t="n"/>
      <c r="C26" s="6" t="inlineStr">
        <is>
          <t>Team total</t>
        </is>
      </c>
      <c r="D26" s="2" t="n"/>
      <c r="E26" s="7">
        <f>SUM(E20:E25)</f>
        <v/>
      </c>
      <c r="F26" s="7">
        <f>SUM(F20:F25)</f>
        <v/>
      </c>
      <c r="G26" s="2" t="n"/>
      <c r="H26" s="2" t="n"/>
    </row>
    <row r="28">
      <c r="A28" s="2" t="inlineStr">
        <is>
          <t>team-01</t>
        </is>
      </c>
      <c r="B28" s="2" t="inlineStr">
        <is>
          <t>Ana Rivera, Marcus Chen</t>
        </is>
      </c>
      <c r="C28" s="2" t="inlineStr">
        <is>
          <t>Data Cleaning &amp; Preparation</t>
        </is>
      </c>
      <c r="D28" s="2">
        <f>IF(E28&gt;=INDEX(Rubric!$C$2:$C$7,MATCH(C28,Rubric!$A$2:$A$7,0)),"Excellent",IF(E28&gt;=INDEX(Rubric!$D$2:$D$7,MATCH(C28,Rubric!$A$2:$A$7,0)),"Good","Needs Work"))</f>
        <v/>
      </c>
      <c r="E28" s="5" t="n">
        <v>39</v>
      </c>
      <c r="F28" s="3">
        <f>INDEX(Rubric!$B$2:$B$7,MATCH(C28,Rubric!$A$2:$A$7,0))</f>
        <v/>
      </c>
      <c r="G28" s="2" t="inlineStr">
        <is>
          <t>Every Q1 step is done in code and justified in Markdown (duplicates, 'pending' scores, missing ZIP and cuisine, result labels, date and 5-character ZIP), the counts reconcile (2,480 - 36 - 53 = 2,391) and nothing errors, with one point held back because two justifications (duplicates being identical, dropped rows being spread across months and ZIPs) are not shown in any output.</t>
        </is>
      </c>
      <c r="H28" s="2" t="inlineStr">
        <is>
          <t>Cell 8: 'Duplicated inspection_id: 36' and 'Non-numeric scores: 41' | Cell 9: 'drop those rows rather than guessing a score'</t>
        </is>
      </c>
    </row>
    <row r="29">
      <c r="A29" s="2" t="inlineStr">
        <is>
          <t>team-01</t>
        </is>
      </c>
      <c r="B29" s="2" t="inlineStr">
        <is>
          <t>Ana Rivera, Marcus Chen</t>
        </is>
      </c>
      <c r="C29" s="2" t="inlineStr">
        <is>
          <t>Analysis &amp; Visualizations</t>
        </is>
      </c>
      <c r="D29" s="2">
        <f>IF(E29&gt;=INDEX(Rubric!$C$2:$C$7,MATCH(C29,Rubric!$A$2:$A$7,0)),"Excellent",IF(E29&gt;=INDEX(Rubric!$D$2:$D$7,MATCH(C29,Rubric!$A$2:$A$7,0)),"Good","Needs Work"))</f>
        <v/>
      </c>
      <c r="E29" s="5" t="n">
        <v>48</v>
      </c>
      <c r="F29" s="3">
        <f>INDEX(Rubric!$B$2:$B$7,MATCH(C29,Rubric!$A$2:$A$7,0))</f>
        <v/>
      </c>
      <c r="G29" s="2" t="inlineStr">
        <is>
          <t>All four questions are answered with a fitting table or chart (bar for ZIP fail rates, line for months, table plus horizontal bar for cuisines), every chart has a title and axis labels with a legend where there is more than one series, and the table values recompute correctly, with two points held back because the Q3 y-axis is labeled '0-100' but spans only about 80 to 86, which visually exaggerates a 6-point dip.</t>
        </is>
      </c>
      <c r="H29" s="2" t="inlineStr">
        <is>
          <t>Cell 14: '# Only ZIP codes with at least 25 inspections'; top row '33142  87  16  0.184' | images/cell15_1.png: title 'Top 10 ZIP Codes by Inspection Fail Rate (2025)', axes 'ZIP code' and 'Fail rate (%)', legend with dashed 'County average (9.6%)'</t>
        </is>
      </c>
    </row>
    <row r="30">
      <c r="A30" s="2" t="inlineStr">
        <is>
          <t>team-01</t>
        </is>
      </c>
      <c r="B30" s="2" t="inlineStr">
        <is>
          <t>Ana Rivera, Marcus Chen</t>
        </is>
      </c>
      <c r="C30" s="2" t="inlineStr">
        <is>
          <t>Interpretation &amp; Written Summaries</t>
        </is>
      </c>
      <c r="D30" s="2">
        <f>IF(E30&gt;=INDEX(Rubric!$C$2:$C$7,MATCH(C30,Rubric!$A$2:$A$7,0)),"Excellent",IF(E30&gt;=INDEX(Rubric!$D$2:$D$7,MATCH(C30,Rubric!$A$2:$A$7,0)),"Good","Needs Work"))</f>
        <v/>
      </c>
      <c r="E30" s="5" t="n">
        <v>28</v>
      </c>
      <c r="F30" s="3">
        <f>INDEX(Rubric!$B$2:$B$7,MATCH(C30,Rubric!$A$2:$A$7,0))</f>
        <v/>
      </c>
      <c r="G30" s="2" t="inlineStr">
        <is>
          <t>Every question has a summary that adds meaning beyond the numbers (the hidden 'pending' scores, the 25-inspection filter, summer heat, raw proteins) and the Conclusions cell names a limitation, but a few claims rest on facts never shown in the notebook (ZIP geography, spread of dropped rows, 'Unknown' behaving like the average), so the score sits just below the middle of the range.</t>
        </is>
      </c>
      <c r="H30" s="2" t="inlineStr">
        <is>
          <t>Cell 12: '2,391 of 2,480 inspections (96.4%) remain' | Cell 16: 'almost double the county average of 9.6%'; 'Seven of the top ten ZIP codes are clustered north and west of downtown' (no location data or map in the notebook)</t>
        </is>
      </c>
    </row>
    <row r="31">
      <c r="A31" s="2" t="inlineStr">
        <is>
          <t>team-01</t>
        </is>
      </c>
      <c r="B31" s="2" t="inlineStr">
        <is>
          <t>Ana Rivera, Marcus Chen</t>
        </is>
      </c>
      <c r="C31" s="2" t="inlineStr">
        <is>
          <t>Code Quality &amp; Organization</t>
        </is>
      </c>
      <c r="D31" s="2">
        <f>IF(E31&gt;=INDEX(Rubric!$C$2:$C$7,MATCH(C31,Rubric!$A$2:$A$7,0)),"Excellent",IF(E31&gt;=INDEX(Rubric!$D$2:$D$7,MATCH(C31,Rubric!$A$2:$A$7,0)),"Good","Needs Work"))</f>
        <v/>
      </c>
      <c r="E31" s="5" t="n">
        <v>23</v>
      </c>
      <c r="F31" s="3">
        <f>INDEX(Rubric!$B$2:$B$7,MATCH(C31,Rubric!$A$2:$A$7,0))</f>
        <v/>
      </c>
      <c r="G31" s="2" t="inlineStr">
        <is>
          <t>The notebook has a heading for each question, a logical flow, execution counts 1 to 13 in order with no errors, helpful comments and descriptive names, but cell 25 is leftover unused code named tmp, so it sits at the bottom of excellent and is borderline with good.</t>
        </is>
      </c>
      <c r="H31" s="2" t="inlineStr">
        <is>
          <t>facts.json: execution_counts 1-13 in order, errors [], execution_issues [] | Cells 3, 6, 13, 17, 21, 26: headings 'Setup', 'Q1. Cleaning' through 'Conclusions'</t>
        </is>
      </c>
    </row>
    <row r="32">
      <c r="A32" s="2" t="inlineStr">
        <is>
          <t>team-01</t>
        </is>
      </c>
      <c r="B32" s="2" t="inlineStr">
        <is>
          <t>Ana Rivera, Marcus Chen</t>
        </is>
      </c>
      <c r="C32" s="2" t="inlineStr">
        <is>
          <t>Presentation of Findings</t>
        </is>
      </c>
      <c r="D32" s="2">
        <f>IF(E32&gt;=INDEX(Rubric!$C$2:$C$7,MATCH(C32,Rubric!$A$2:$A$7,0)),"Excellent",IF(E32&gt;=INDEX(Rubric!$D$2:$D$7,MATCH(C32,Rubric!$A$2:$A$7,0)),"Good","Needs Work"))</f>
        <v/>
      </c>
      <c r="E32" s="5" t="n">
        <v>32</v>
      </c>
      <c r="F32" s="3">
        <f>INDEX(Rubric!$B$2:$B$7,MATCH(C32,Rubric!$A$2:$A$7,0))</f>
        <v/>
      </c>
      <c r="G32" s="2" t="inlineStr">
        <is>
          <t>The talk walks clearly through all four questions within the 5-minute limit, has an explicit hand-off between two speakers, points to each chart and quotes numbers that match the notebook, but it is placed at the bottom of the range because the split looks uneven (the first speaker covers only cleaning, about 30 seconds) and at 1:37 Q3 and Q4 get one or two sentences each.</t>
        </is>
      </c>
      <c r="H32" s="2" t="inlineStr">
        <is>
          <t>[00:14] 'We removed 36 duplicate inspection IDs'; [00:26] 'That left 2,391 inspections' | [00:32] 'I'm Student B, and I worked on question 2. If you look at our bar chart'</t>
        </is>
      </c>
    </row>
    <row r="33">
      <c r="A33" s="2" t="inlineStr">
        <is>
          <t>team-01</t>
        </is>
      </c>
      <c r="B33" s="2" t="inlineStr">
        <is>
          <t>Ana Rivera, Marcus Chen</t>
        </is>
      </c>
      <c r="C33" s="2" t="inlineStr">
        <is>
          <t>Collaboration &amp; Formatting</t>
        </is>
      </c>
      <c r="D33" s="2">
        <f>IF(E33&gt;=INDEX(Rubric!$C$2:$C$7,MATCH(C33,Rubric!$A$2:$A$7,0)),"Excellent",IF(E33&gt;=INDEX(Rubric!$D$2:$D$7,MATCH(C33,Rubric!$A$2:$A$7,0)),"Good","Needs Work"))</f>
        <v/>
      </c>
      <c r="E33" s="5" t="n">
        <v>20</v>
      </c>
      <c r="F33" s="3">
        <f>INDEX(Rubric!$B$2:$B$7,MATCH(C33,Rubric!$A$2:$A$7,0))</f>
        <v/>
      </c>
      <c r="G33" s="2" t="inlineStr">
        <is>
          <t>The header has all four required fields and the file name follows the convention (both checked by code), and responsibilities are split evenly by question with both students presenting, though meaningful contribution by both cannot be proven from the files.</t>
        </is>
      </c>
      <c r="H33" s="2" t="inlineStr">
        <is>
          <t>facts.json: header_missing [], filename_ok true, students_count 2 | Cell 1: 'Student A: data cleaning (Q1), monthly score trend (Q3)... Student B: ZIP code fail rates (Q2), cuisine violations (Q4)... Both: presentation.'</t>
        </is>
      </c>
    </row>
    <row r="34">
      <c r="A34" s="6" t="inlineStr">
        <is>
          <t>team-01</t>
        </is>
      </c>
      <c r="B34" s="2" t="n"/>
      <c r="C34" s="6" t="inlineStr">
        <is>
          <t>Team total</t>
        </is>
      </c>
      <c r="D34" s="2" t="n"/>
      <c r="E34" s="7">
        <f>SUM(E28:E33)</f>
        <v/>
      </c>
      <c r="F34" s="7">
        <f>SUM(F28:F33)</f>
        <v/>
      </c>
      <c r="G34" s="2" t="n"/>
      <c r="H34" s="2"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5" customWidth="1" min="3" max="3"/>
    <col width="12" customWidth="1" min="4" max="4"/>
    <col width="13" customWidth="1" min="5" max="5"/>
  </cols>
  <sheetData>
    <row r="1">
      <c r="A1" s="1" t="inlineStr">
        <is>
          <t>Category</t>
        </is>
      </c>
      <c r="B1" s="1" t="inlineStr">
        <is>
          <t>Points</t>
        </is>
      </c>
      <c r="C1" s="1" t="inlineStr">
        <is>
          <t>Excellent from</t>
        </is>
      </c>
      <c r="D1" s="1" t="inlineStr">
        <is>
          <t>Good from</t>
        </is>
      </c>
      <c r="E1" s="1" t="inlineStr">
        <is>
          <t>Needs Work</t>
        </is>
      </c>
    </row>
    <row r="2">
      <c r="A2" s="2" t="inlineStr">
        <is>
          <t>Data Cleaning &amp; Preparation</t>
        </is>
      </c>
      <c r="B2" s="3" t="n">
        <v>40</v>
      </c>
      <c r="C2" s="3" t="n">
        <v>36</v>
      </c>
      <c r="D2" s="3" t="n">
        <v>28</v>
      </c>
      <c r="E2" s="3">
        <f>"0 to "&amp;(D2-1)</f>
        <v/>
      </c>
    </row>
    <row r="3">
      <c r="A3" s="2" t="inlineStr">
        <is>
          <t>Analysis &amp; Visualizations</t>
        </is>
      </c>
      <c r="B3" s="3" t="n">
        <v>50</v>
      </c>
      <c r="C3" s="3" t="n">
        <v>45</v>
      </c>
      <c r="D3" s="3" t="n">
        <v>35</v>
      </c>
      <c r="E3" s="3">
        <f>"0 to "&amp;(D3-1)</f>
        <v/>
      </c>
    </row>
    <row r="4">
      <c r="A4" s="2" t="inlineStr">
        <is>
          <t>Interpretation &amp; Written Summaries</t>
        </is>
      </c>
      <c r="B4" s="3" t="n">
        <v>30</v>
      </c>
      <c r="C4" s="3" t="n">
        <v>27</v>
      </c>
      <c r="D4" s="3" t="n">
        <v>21</v>
      </c>
      <c r="E4" s="3">
        <f>"0 to "&amp;(D4-1)</f>
        <v/>
      </c>
    </row>
    <row r="5">
      <c r="A5" s="2" t="inlineStr">
        <is>
          <t>Code Quality &amp; Organization</t>
        </is>
      </c>
      <c r="B5" s="3" t="n">
        <v>25</v>
      </c>
      <c r="C5" s="3" t="n">
        <v>23</v>
      </c>
      <c r="D5" s="3" t="n">
        <v>17</v>
      </c>
      <c r="E5" s="3">
        <f>"0 to "&amp;(D5-1)</f>
        <v/>
      </c>
    </row>
    <row r="6">
      <c r="A6" s="2" t="inlineStr">
        <is>
          <t>Presentation of Findings</t>
        </is>
      </c>
      <c r="B6" s="3" t="n">
        <v>35</v>
      </c>
      <c r="C6" s="3" t="n">
        <v>32</v>
      </c>
      <c r="D6" s="3" t="n">
        <v>24</v>
      </c>
      <c r="E6" s="3">
        <f>"0 to "&amp;(D6-1)</f>
        <v/>
      </c>
    </row>
    <row r="7">
      <c r="A7" s="2" t="inlineStr">
        <is>
          <t>Collaboration &amp; Formatting</t>
        </is>
      </c>
      <c r="B7" s="3" t="n">
        <v>20</v>
      </c>
      <c r="C7" s="3" t="n">
        <v>18</v>
      </c>
      <c r="D7" s="3" t="n">
        <v>14</v>
      </c>
      <c r="E7" s="3">
        <f>"0 to "&amp;(D7-1)</f>
        <v/>
      </c>
    </row>
    <row r="8">
      <c r="A8" s="6" t="inlineStr">
        <is>
          <t>Total</t>
        </is>
      </c>
      <c r="B8" s="7">
        <f>SUM(B2:B7)</f>
        <v/>
      </c>
    </row>
    <row r="10">
      <c r="A10" s="4" t="inlineStr">
        <is>
          <t>Source: CAP3321C Final Project Rubric (200 points). Each level's range ends where the next level starts.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2026-10-08T18:00:53Z</dcterms:created>
  <dcterms:modified xsi:type="dcterms:W3CDTF">2026-10-08T18:00:53Z</dcterms:modified>
</cp:coreProperties>
</file>