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ades" state="visible" r:id="rId4"/>
    <sheet sheetId="2" name="Details" state="visible" r:id="rId5"/>
    <sheet sheetId="3" name="Rubric" state="visible" r:id="rId6"/>
  </sheets>
  <calcPr calcId="171027"/>
</workbook>
</file>

<file path=xl/sharedStrings.xml><?xml version="1.0" encoding="utf-8"?>
<sst xmlns="http://schemas.openxmlformats.org/spreadsheetml/2006/main" count="182" uniqueCount="104">
  <si>
    <t>CAP3321C Final Project</t>
  </si>
  <si>
    <t>Grades for the teams you reviewed. The breakdown behind each score is on the Details tab.</t>
  </si>
  <si>
    <t>Student name</t>
  </si>
  <si>
    <t>Score (out of 200)</t>
  </si>
  <si>
    <t>Needs your attention</t>
  </si>
  <si>
    <t>AI usage</t>
  </si>
  <si>
    <t>Noah Kim</t>
  </si>
  <si>
    <t>No video in the team's folder; you entered the Presentation score; Check Canvas: the video may have been sent as a media recording or a link</t>
  </si>
  <si>
    <t>No concern</t>
  </si>
  <si>
    <t>Emma Lopez</t>
  </si>
  <si>
    <t>Luis Gomez</t>
  </si>
  <si>
    <t>The notebook stops with an error in cell 5; Cells were run out of order; Only one partner speaks in the video</t>
  </si>
  <si>
    <t>Review: Leftover chatbot text in cell 2: “Certainly! Here's…”; A summary uses a column that is not in the data; The presenter can't explain the outlier code (00:23); The talk describes a join the notebook never does (00:32)</t>
  </si>
  <si>
    <t>Tara Brooks</t>
  </si>
  <si>
    <t>Priya Patel</t>
  </si>
  <si>
    <t>Hidden text in the notebook asks for full marks (it was ignored); File name and header don't follow the submission rules; The second partner barely speaks</t>
  </si>
  <si>
    <t>David Okafor</t>
  </si>
  <si>
    <t>Ana Rivera</t>
  </si>
  <si>
    <t>Confirm who presented Q3 and Q4</t>
  </si>
  <si>
    <t>Marcus Chen</t>
  </si>
  <si>
    <t>How each grade adds up</t>
  </si>
  <si>
    <t>Yellow scores can be changed. The level, the team total and the Grades tab update.</t>
  </si>
  <si>
    <t>Team</t>
  </si>
  <si>
    <t>Students</t>
  </si>
  <si>
    <t>Category</t>
  </si>
  <si>
    <t>Level</t>
  </si>
  <si>
    <t>Score</t>
  </si>
  <si>
    <t>Out of</t>
  </si>
  <si>
    <t>Why this score</t>
  </si>
  <si>
    <t>Evidence</t>
  </si>
  <si>
    <t>team-04  ·  Noah Kim, Emma Lopez</t>
  </si>
  <si>
    <t>team-04</t>
  </si>
  <si>
    <t>Noah Kim, Emma Lopez</t>
  </si>
  <si>
    <t>Data Cleaning &amp; Preparation</t>
  </si>
  <si>
    <t>Duplicates, types and missing values are handled; one decision is not explained.</t>
  </si>
  <si>
    <t>Cell 7: “Dropped 52 rows with no ZIP code”</t>
  </si>
  <si>
    <t>Analysis &amp; Visualizations</t>
  </si>
  <si>
    <t>All four questions answered; one chart could use a legend.</t>
  </si>
  <si>
    <t>Cell 14: bar chart of fail rate by ZIP code</t>
  </si>
  <si>
    <t>Interpretation &amp; Written Summaries</t>
  </si>
  <si>
    <t>Summaries explain the results, though Q4's is brief.</t>
  </si>
  <si>
    <t>Cell 20: “Seafood restaurants average 4.7 violations per inspection”</t>
  </si>
  <si>
    <t>Code Quality &amp; Organization</t>
  </si>
  <si>
    <t>Runs in order with no errors; a few unused imports.</t>
  </si>
  <si>
    <t>Execution order: 1 to 11</t>
  </si>
  <si>
    <t>Presentation of Findings</t>
  </si>
  <si>
    <t>Entered by the professor: no video in the team's folder.</t>
  </si>
  <si>
    <t/>
  </si>
  <si>
    <t>Collaboration &amp; Formatting</t>
  </si>
  <si>
    <t>Header and file name follow the rules; the Responsibilities line is vague.</t>
  </si>
  <si>
    <t>Cell 1: “We both worked on everything”</t>
  </si>
  <si>
    <t>Team total</t>
  </si>
  <si>
    <t>team-03  ·  Luis Gomez, Tara Brooks</t>
  </si>
  <si>
    <t>team-03</t>
  </si>
  <si>
    <t>Luis Gomez, Tara Brooks</t>
  </si>
  <si>
    <t>The only cleaning cell stops with an error, so nothing is cleaned.</t>
  </si>
  <si>
    <t>Cell 5: NameError: name 'df_raw' is not defined</t>
  </si>
  <si>
    <t>Only Q2 is answered, it counts fails instead of fail rates, and the chart has no labels.</t>
  </si>
  <si>
    <t>Cell 9: chart with no title or axis labels</t>
  </si>
  <si>
    <t>One summary, and it uses a column that is not in the data.</t>
  </si>
  <si>
    <t>Cell 10: “customer_satisfaction_score”</t>
  </si>
  <si>
    <t>Cells were run out of order and one cell has an error.</t>
  </si>
  <si>
    <t>Execution order: 7, 2, 12, 5, 9</t>
  </si>
  <si>
    <t>One presenter, 1:06 long, unsure how the outlier step works.</t>
  </si>
  <si>
    <t>00:23 “I'm not really sure how the outlier part works”</t>
  </si>
  <si>
    <t>Header and file name follow the rules.</t>
  </si>
  <si>
    <t>Cell 1: responsibilities listed for both students</t>
  </si>
  <si>
    <t>team-02  ·  Priya Patel, David Okafor</t>
  </si>
  <si>
    <t>team-02</t>
  </si>
  <si>
    <t>Priya Patel, David Okafor</t>
  </si>
  <si>
    <t>Duplicates and dates are handled, but score stays as text.</t>
  </si>
  <si>
    <t>Cell 6 output: score  object</t>
  </si>
  <si>
    <t>All four questions answered; the monthly chart has no axis labels.</t>
  </si>
  <si>
    <t>Cell 13: line chart without axis labels</t>
  </si>
  <si>
    <t>Every question has a summary, but most only restate numbers.</t>
  </si>
  <si>
    <t>Cell 7: “There are 2432 rows left after cleaning.”</t>
  </si>
  <si>
    <t>Runs in order with no errors; sparse comments.</t>
  </si>
  <si>
    <t>Cell 12: variable named v</t>
  </si>
  <si>
    <t>Covers every question, but 1:08 long and the second partner says one sentence.</t>
  </si>
  <si>
    <t>00:55 “I helped with the zip code chart”</t>
  </si>
  <si>
    <t>File name is wrong and the Responsibilities line is missing.</t>
  </si>
  <si>
    <t>patel-okafor final.ipynb</t>
  </si>
  <si>
    <t>team-01  ·  Ana Rivera, Marcus Chen</t>
  </si>
  <si>
    <t>team-01</t>
  </si>
  <si>
    <t>Ana Rivera, Marcus Chen</t>
  </si>
  <si>
    <t>Every step is done and explained; the row counts add up.</t>
  </si>
  <si>
    <t>Cell 8: 36 duplicate IDs, 41 non-numeric scores</t>
  </si>
  <si>
    <t>All four questions answered with clear, labeled charts.</t>
  </si>
  <si>
    <t>Cell 15: “Top 10 ZIP Codes by Inspection Fail Rate (2025)”</t>
  </si>
  <si>
    <t>Summaries explain what results mean, with one unsupported claim.</t>
  </si>
  <si>
    <t>Cell 16: “almost double the county average of 9.6%”</t>
  </si>
  <si>
    <t>Clean and in order; one leftover unused cell.</t>
  </si>
  <si>
    <t>Cell 25: tmp = … (never used)</t>
  </si>
  <si>
    <t>Clear walk through all four questions; both partners speak.</t>
  </si>
  <si>
    <t>00:32 “I worked on question 2”</t>
  </si>
  <si>
    <t>Header complete, file named correctly, work split by question.</t>
  </si>
  <si>
    <t>Cell 1: responsibilities for both students</t>
  </si>
  <si>
    <t>Rubric</t>
  </si>
  <si>
    <t>CAP3321C Final Project Rubric · 200 points. Each level's range ends where the next level starts.</t>
  </si>
  <si>
    <t>Points</t>
  </si>
  <si>
    <t>Excellent from</t>
  </si>
  <si>
    <t>Good from</t>
  </si>
  <si>
    <t>Needs Work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</si>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</sst>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1B1830"/>
      <sz val="16"/>
      <name val="Arial"/>
    </font>
    <font>
      <i/>
      <color rgb="FF6A6480"/>
      <sz val="10"/>
      <name val="Arial"/>
    </font>
    <font>
      <b/>
      <color rgb="FFFFFFFF"/>
      <sz val="11"/>
      <name val="Arial"/>
    </font>
    <font>
      <b/>
      <color rgb="FF1B1830"/>
      <sz val="11"/>
      <name val="Arial"/>
    </font>
    <font>
      <b/>
      <color rgb="FF1B1830"/>
      <sz val="12"/>
      <name val="Arial"/>
    </font>
    <font>
      <color rgb="FF1B1830"/>
      <sz val="11"/>
      <name val="Arial"/>
    </font>
    <font>
      <b/>
      <color rgb="FF3B2F63"/>
      <sz val="11"/>
      <name val="Arial"/>
    </font>
    <font>
      <color rgb="FF6A6480"/>
      <sz val="10"/>
      <name val="Arial"/>
    </font>
    <font>
      <color rgb="FF6A6480"/>
      <sz val="11"/>
      <name val="Arial"/>
    </font>
  </fonts>
  <fills count="6">
    <fill>
      <patternFill patternType="none"/>
    </fill>
    <fill>
      <patternFill patternType="gray125"/>
    </fill>
    <fill>
      <patternFill patternType="solid">
        <fgColor rgb="FF3B2F63"/>
      </patternFill>
    </fill>
    <fill>
      <patternFill patternType="solid">
        <fgColor rgb="FFF7F5FB"/>
      </patternFill>
    </fill>
    <fill>
      <patternFill patternType="solid">
        <fgColor rgb="FFEFE8FC"/>
      </patternFill>
    </fill>
    <fill>
      <patternFill patternType="solid">
        <f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E4E1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 indent="1"/>
    </xf>
    <xf numFmtId="0" fontId="4" fillId="0" borderId="1" xfId="0" applyFont="1" applyBorder="1" applyAlignment="1">
      <alignment vertical="top" wrapText="1" indent="1"/>
    </xf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vertical="top" wrapText="1" indent="1"/>
    </xf>
    <xf numFmtId="0" fontId="4" fillId="3" borderId="1" xfId="0" applyFont="1" applyFill="1" applyBorder="1" applyAlignment="1">
      <alignment vertical="top" wrapText="1" indent="1"/>
    </xf>
    <xf numFmtId="0" fontId="5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 wrapText="1" indent="1"/>
    </xf>
    <xf numFmtId="0" fontId="7" fillId="4" borderId="0" xfId="0" applyFont="1" applyFill="1" applyAlignment="1">
      <alignment vertical="center" indent="1"/>
    </xf>
    <xf numFmtId="0" fontId="8" fillId="0" borderId="1" xfId="0" applyFont="1" applyBorder="1" applyAlignment="1">
      <alignment vertical="top" wrapText="1" indent="1"/>
    </xf>
    <xf numFmtId="0" fontId="6" fillId="0" borderId="1" xfId="0" applyFont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0" fontId="6" fillId="3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font>
        <b/>
        <color rgb="FF8F5400"/>
      </font>
      <fill>
        <patternFill patternType="solid">
          <bgColor rgb="FFFCF1DC"/>
        </patternFill>
      </fill>
    </dxf>
    <dxf>
      <font>
        <color rgb="FF1D7A4A"/>
      </font>
    </dxf>
    <dxf>
      <font>
        <b/>
        <color rgb="FF1D7A4A"/>
      </font>
      <fill>
        <patternFill patternType="solid">
          <bgColor rgb="FFE3F3EA"/>
        </patternFill>
      </fill>
    </dxf>
    <dxf>
      <font>
        <b/>
        <color rgb="FF3B2F63"/>
      </font>
      <fill>
        <patternFill patternType="solid">
          <bgColor rgb="FFEEEDF6"/>
        </patternFill>
      </fill>
    </dxf>
    <dxf>
      <font>
        <b/>
        <color rgb="FF8F5400"/>
      </font>
      <fill>
        <patternFill patternType="solid">
          <bgColor rgb="FFFCF1D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9" customWidth="1"/>
    <col min="3" max="3" width="70" customWidth="1"/>
    <col min="4" max="4" width="55" customWidth="1"/>
  </cols>
  <sheetData>
    <row r="1" ht="26" customHeight="1" spans="1:1" x14ac:dyDescent="0.25">
      <c r="A1" s="1" t="s">
        <v>0</v>
      </c>
    </row>
    <row r="2" spans="1:1" x14ac:dyDescent="0.25">
      <c r="A2" s="2" t="s">
        <v>1</v>
      </c>
    </row>
    <row r="3" ht="8" customHeight="1" x14ac:dyDescent="0.25"/>
    <row r="4" ht="24" customHeight="1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ht="36" customHeight="1" spans="1:4" x14ac:dyDescent="0.25">
      <c r="A5" s="4" t="s">
        <v>6</v>
      </c>
      <c r="B5" s="5">
        <f>SUMIFS(Details!$E$5:$E$41,Details!$B$5:$B$41,"*"&amp;A5&amp;"*")</f>
        <v>166</v>
      </c>
      <c r="C5" s="6" t="s">
        <v>7</v>
      </c>
      <c r="D5" s="6" t="s">
        <v>8</v>
      </c>
    </row>
    <row r="6" ht="36" customHeight="1" spans="1:4" x14ac:dyDescent="0.25">
      <c r="A6" s="7" t="s">
        <v>9</v>
      </c>
      <c r="B6" s="8">
        <f>SUMIFS(Details!$E$5:$E$41,Details!$B$5:$B$41,"*"&amp;A6&amp;"*")</f>
        <v>166</v>
      </c>
      <c r="C6" s="9" t="s">
        <v>7</v>
      </c>
      <c r="D6" s="9" t="s">
        <v>8</v>
      </c>
    </row>
    <row r="7" ht="66" customHeight="1" spans="1:4" x14ac:dyDescent="0.25">
      <c r="A7" s="4" t="s">
        <v>10</v>
      </c>
      <c r="B7" s="5">
        <f>SUMIFS(Details!$E$5:$E$41,Details!$B$5:$B$41,"*"&amp;A7&amp;"*")</f>
        <v>50</v>
      </c>
      <c r="C7" s="6" t="s">
        <v>11</v>
      </c>
      <c r="D7" s="6" t="s">
        <v>12</v>
      </c>
    </row>
    <row r="8" ht="66" customHeight="1" spans="1:4" x14ac:dyDescent="0.25">
      <c r="A8" s="7" t="s">
        <v>13</v>
      </c>
      <c r="B8" s="8">
        <f>SUMIFS(Details!$E$5:$E$41,Details!$B$5:$B$41,"*"&amp;A8&amp;"*")</f>
        <v>50</v>
      </c>
      <c r="C8" s="9" t="s">
        <v>11</v>
      </c>
      <c r="D8" s="9" t="s">
        <v>12</v>
      </c>
    </row>
    <row r="9" ht="36" customHeight="1" spans="1:4" x14ac:dyDescent="0.25">
      <c r="A9" s="4" t="s">
        <v>14</v>
      </c>
      <c r="B9" s="5">
        <f>SUMIFS(Details!$E$5:$E$41,Details!$B$5:$B$41,"*"&amp;A9&amp;"*")</f>
        <v>140</v>
      </c>
      <c r="C9" s="6" t="s">
        <v>15</v>
      </c>
      <c r="D9" s="6" t="s">
        <v>8</v>
      </c>
    </row>
    <row r="10" ht="36" customHeight="1" spans="1:4" x14ac:dyDescent="0.25">
      <c r="A10" s="7" t="s">
        <v>16</v>
      </c>
      <c r="B10" s="8">
        <f>SUMIFS(Details!$E$5:$E$41,Details!$B$5:$B$41,"*"&amp;A10&amp;"*")</f>
        <v>140</v>
      </c>
      <c r="C10" s="9" t="s">
        <v>15</v>
      </c>
      <c r="D10" s="9" t="s">
        <v>8</v>
      </c>
    </row>
    <row r="11" ht="21" customHeight="1" spans="1:4" x14ac:dyDescent="0.25">
      <c r="A11" s="4" t="s">
        <v>17</v>
      </c>
      <c r="B11" s="5">
        <f>SUMIFS(Details!$E$5:$E$41,Details!$B$5:$B$41,"*"&amp;A11&amp;"*")</f>
        <v>190</v>
      </c>
      <c r="C11" s="6" t="s">
        <v>18</v>
      </c>
      <c r="D11" s="6" t="s">
        <v>8</v>
      </c>
    </row>
    <row r="12" ht="21" customHeight="1" spans="1:4" x14ac:dyDescent="0.25">
      <c r="A12" s="7" t="s">
        <v>19</v>
      </c>
      <c r="B12" s="8">
        <f>SUMIFS(Details!$E$5:$E$41,Details!$B$5:$B$41,"*"&amp;A12&amp;"*")</f>
        <v>190</v>
      </c>
      <c r="C12" s="9" t="s">
        <v>18</v>
      </c>
      <c r="D12" s="9" t="s">
        <v>8</v>
      </c>
    </row>
  </sheetData>
  <conditionalFormatting sqref="D5:D12">
    <cfRule type="expression" dxfId="0" priority="1">
      <formula>LEFT($D5,6)="Review"</formula>
    </cfRule>
    <cfRule type="expression" dxfId="1" priority="2">
      <formula>$D5="No concern"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4" customWidth="1"/>
    <col min="3" max="3" width="35" customWidth="1"/>
    <col min="4" max="4" width="13" customWidth="1"/>
    <col min="7" max="7" width="55" customWidth="1"/>
    <col min="8" max="8" width="50" customWidth="1"/>
  </cols>
  <sheetData>
    <row r="1" ht="26" customHeight="1" spans="1:1" x14ac:dyDescent="0.25">
      <c r="A1" s="1" t="s">
        <v>20</v>
      </c>
    </row>
    <row r="2" spans="1:1" x14ac:dyDescent="0.25">
      <c r="A2" s="2" t="s">
        <v>21</v>
      </c>
    </row>
    <row r="3" ht="8" customHeight="1" x14ac:dyDescent="0.25"/>
    <row r="4" ht="24" customHeight="1" spans="1:8" x14ac:dyDescent="0.25">
      <c r="A4" s="3" t="s">
        <v>22</v>
      </c>
      <c r="B4" s="3" t="s">
        <v>23</v>
      </c>
      <c r="C4" s="3" t="s">
        <v>24</v>
      </c>
      <c r="D4" s="3" t="s">
        <v>25</v>
      </c>
      <c r="E4" s="3" t="s">
        <v>26</v>
      </c>
      <c r="F4" s="3" t="s">
        <v>27</v>
      </c>
      <c r="G4" s="3" t="s">
        <v>28</v>
      </c>
      <c r="H4" s="3" t="s">
        <v>29</v>
      </c>
    </row>
    <row r="5" ht="22" customHeight="1" spans="1:8" x14ac:dyDescent="0.25">
      <c r="A5" s="10" t="s">
        <v>30</v>
      </c>
      <c r="B5" s="10"/>
      <c r="C5" s="10"/>
      <c r="D5" s="10"/>
      <c r="E5" s="10"/>
      <c r="F5" s="10"/>
      <c r="G5" s="10"/>
      <c r="H5" s="10"/>
    </row>
    <row r="6" ht="36" customHeight="1" spans="1:8" x14ac:dyDescent="0.25">
      <c r="A6" s="11" t="s">
        <v>31</v>
      </c>
      <c r="B6" s="11" t="s">
        <v>32</v>
      </c>
      <c r="C6" s="6" t="s">
        <v>33</v>
      </c>
      <c r="D6" s="12" t="str">
        <f>IF(E6&gt;=INDEX(Rubric!$C$5:$C$10,MATCH(C6,Rubric!$A$5:$A$10,0)),"Excellent",IF(E6&gt;=INDEX(Rubric!$D$5:$D$10,MATCH(C6,Rubric!$A$5:$A$10,0)),"Good","Needs Work"))</f>
        <v>Good</v>
      </c>
      <c r="E6" s="13">
        <v>33</v>
      </c>
      <c r="F6" s="14">
        <f>INDEX(Rubric!$B$5:$B$10,MATCH(C6,Rubric!$A$5:$A$10,0))</f>
        <v>40</v>
      </c>
      <c r="G6" s="6" t="s">
        <v>34</v>
      </c>
      <c r="H6" s="11" t="s">
        <v>35</v>
      </c>
    </row>
    <row r="7" ht="21" customHeight="1" spans="1:8" x14ac:dyDescent="0.25">
      <c r="A7" s="11" t="s">
        <v>31</v>
      </c>
      <c r="B7" s="11" t="s">
        <v>32</v>
      </c>
      <c r="C7" s="6" t="s">
        <v>36</v>
      </c>
      <c r="D7" s="12" t="str">
        <f>IF(E7&gt;=INDEX(Rubric!$C$5:$C$10,MATCH(C7,Rubric!$A$5:$A$10,0)),"Excellent",IF(E7&gt;=INDEX(Rubric!$D$5:$D$10,MATCH(C7,Rubric!$A$5:$A$10,0)),"Good","Needs Work"))</f>
        <v>Good</v>
      </c>
      <c r="E7" s="13">
        <v>43</v>
      </c>
      <c r="F7" s="14">
        <f>INDEX(Rubric!$B$5:$B$10,MATCH(C7,Rubric!$A$5:$A$10,0))</f>
        <v>50</v>
      </c>
      <c r="G7" s="6" t="s">
        <v>37</v>
      </c>
      <c r="H7" s="11" t="s">
        <v>38</v>
      </c>
    </row>
    <row r="8" ht="36" customHeight="1" spans="1:8" x14ac:dyDescent="0.25">
      <c r="A8" s="11" t="s">
        <v>31</v>
      </c>
      <c r="B8" s="11" t="s">
        <v>32</v>
      </c>
      <c r="C8" s="6" t="s">
        <v>39</v>
      </c>
      <c r="D8" s="12" t="str">
        <f>IF(E8&gt;=INDEX(Rubric!$C$5:$C$10,MATCH(C8,Rubric!$A$5:$A$10,0)),"Excellent",IF(E8&gt;=INDEX(Rubric!$D$5:$D$10,MATCH(C8,Rubric!$A$5:$A$10,0)),"Good","Needs Work"))</f>
        <v>Good</v>
      </c>
      <c r="E8" s="13">
        <v>24</v>
      </c>
      <c r="F8" s="14">
        <f>INDEX(Rubric!$B$5:$B$10,MATCH(C8,Rubric!$A$5:$A$10,0))</f>
        <v>30</v>
      </c>
      <c r="G8" s="6" t="s">
        <v>40</v>
      </c>
      <c r="H8" s="11" t="s">
        <v>41</v>
      </c>
    </row>
    <row r="9" ht="21" customHeight="1" spans="1:8" x14ac:dyDescent="0.25">
      <c r="A9" s="11" t="s">
        <v>31</v>
      </c>
      <c r="B9" s="11" t="s">
        <v>32</v>
      </c>
      <c r="C9" s="6" t="s">
        <v>42</v>
      </c>
      <c r="D9" s="12" t="str">
        <f>IF(E9&gt;=INDEX(Rubric!$C$5:$C$10,MATCH(C9,Rubric!$A$5:$A$10,0)),"Excellent",IF(E9&gt;=INDEX(Rubric!$D$5:$D$10,MATCH(C9,Rubric!$A$5:$A$10,0)),"Good","Needs Work"))</f>
        <v>Good</v>
      </c>
      <c r="E9" s="13">
        <v>21</v>
      </c>
      <c r="F9" s="14">
        <f>INDEX(Rubric!$B$5:$B$10,MATCH(C9,Rubric!$A$5:$A$10,0))</f>
        <v>25</v>
      </c>
      <c r="G9" s="6" t="s">
        <v>43</v>
      </c>
      <c r="H9" s="11" t="s">
        <v>44</v>
      </c>
    </row>
    <row r="10" ht="21" customHeight="1" spans="1:8" x14ac:dyDescent="0.25">
      <c r="A10" s="11" t="s">
        <v>31</v>
      </c>
      <c r="B10" s="11" t="s">
        <v>32</v>
      </c>
      <c r="C10" s="6" t="s">
        <v>45</v>
      </c>
      <c r="D10" s="12" t="str">
        <f>IF(E10&gt;=INDEX(Rubric!$C$5:$C$10,MATCH(C10,Rubric!$A$5:$A$10,0)),"Excellent",IF(E10&gt;=INDEX(Rubric!$D$5:$D$10,MATCH(C10,Rubric!$A$5:$A$10,0)),"Good","Needs Work"))</f>
        <v>Good</v>
      </c>
      <c r="E10" s="13">
        <v>28</v>
      </c>
      <c r="F10" s="14">
        <f>INDEX(Rubric!$B$5:$B$10,MATCH(C10,Rubric!$A$5:$A$10,0))</f>
        <v>35</v>
      </c>
      <c r="G10" s="6" t="s">
        <v>46</v>
      </c>
      <c r="H10" s="11" t="s">
        <v>47</v>
      </c>
    </row>
    <row r="11" ht="36" customHeight="1" spans="1:8" x14ac:dyDescent="0.25">
      <c r="A11" s="11" t="s">
        <v>31</v>
      </c>
      <c r="B11" s="11" t="s">
        <v>32</v>
      </c>
      <c r="C11" s="6" t="s">
        <v>48</v>
      </c>
      <c r="D11" s="12" t="str">
        <f>IF(E11&gt;=INDEX(Rubric!$C$5:$C$10,MATCH(C11,Rubric!$A$5:$A$10,0)),"Excellent",IF(E11&gt;=INDEX(Rubric!$D$5:$D$10,MATCH(C11,Rubric!$A$5:$A$10,0)),"Good","Needs Work"))</f>
        <v>Good</v>
      </c>
      <c r="E11" s="13">
        <v>17</v>
      </c>
      <c r="F11" s="14">
        <f>INDEX(Rubric!$B$5:$B$10,MATCH(C11,Rubric!$A$5:$A$10,0))</f>
        <v>20</v>
      </c>
      <c r="G11" s="6" t="s">
        <v>49</v>
      </c>
      <c r="H11" s="11" t="s">
        <v>50</v>
      </c>
    </row>
    <row r="12" ht="22" customHeight="1" spans="1:8" x14ac:dyDescent="0.25">
      <c r="A12" s="9"/>
      <c r="B12" s="9"/>
      <c r="C12" s="7" t="s">
        <v>51</v>
      </c>
      <c r="D12" s="9"/>
      <c r="E12" s="15">
        <f>SUM(E6:E11)</f>
        <v>166</v>
      </c>
      <c r="F12" s="15">
        <f>SUM(F6:F11)</f>
        <v>200</v>
      </c>
      <c r="G12" s="9"/>
      <c r="H12" s="9"/>
    </row>
    <row r="14" ht="22" customHeight="1" spans="1:8" x14ac:dyDescent="0.25">
      <c r="A14" s="10" t="s">
        <v>52</v>
      </c>
      <c r="B14" s="10"/>
      <c r="C14" s="10"/>
      <c r="D14" s="10"/>
      <c r="E14" s="10"/>
      <c r="F14" s="10"/>
      <c r="G14" s="10"/>
      <c r="H14" s="10"/>
    </row>
    <row r="15" ht="21" customHeight="1" spans="1:8" x14ac:dyDescent="0.25">
      <c r="A15" s="11" t="s">
        <v>53</v>
      </c>
      <c r="B15" s="11" t="s">
        <v>54</v>
      </c>
      <c r="C15" s="6" t="s">
        <v>33</v>
      </c>
      <c r="D15" s="12" t="str">
        <f>IF(E15&gt;=INDEX(Rubric!$C$5:$C$10,MATCH(C15,Rubric!$A$5:$A$10,0)),"Excellent",IF(E15&gt;=INDEX(Rubric!$D$5:$D$10,MATCH(C15,Rubric!$A$5:$A$10,0)),"Good","Needs Work"))</f>
        <v>Needs Work</v>
      </c>
      <c r="E15" s="13">
        <v>7</v>
      </c>
      <c r="F15" s="14">
        <f>INDEX(Rubric!$B$5:$B$10,MATCH(C15,Rubric!$A$5:$A$10,0))</f>
        <v>40</v>
      </c>
      <c r="G15" s="6" t="s">
        <v>55</v>
      </c>
      <c r="H15" s="11" t="s">
        <v>56</v>
      </c>
    </row>
    <row r="16" ht="36" customHeight="1" spans="1:8" x14ac:dyDescent="0.25">
      <c r="A16" s="11" t="s">
        <v>53</v>
      </c>
      <c r="B16" s="11" t="s">
        <v>54</v>
      </c>
      <c r="C16" s="6" t="s">
        <v>36</v>
      </c>
      <c r="D16" s="12" t="str">
        <f>IF(E16&gt;=INDEX(Rubric!$C$5:$C$10,MATCH(C16,Rubric!$A$5:$A$10,0)),"Excellent",IF(E16&gt;=INDEX(Rubric!$D$5:$D$10,MATCH(C16,Rubric!$A$5:$A$10,0)),"Good","Needs Work"))</f>
        <v>Needs Work</v>
      </c>
      <c r="E16" s="13">
        <v>8</v>
      </c>
      <c r="F16" s="14">
        <f>INDEX(Rubric!$B$5:$B$10,MATCH(C16,Rubric!$A$5:$A$10,0))</f>
        <v>50</v>
      </c>
      <c r="G16" s="6" t="s">
        <v>57</v>
      </c>
      <c r="H16" s="11" t="s">
        <v>58</v>
      </c>
    </row>
    <row r="17" ht="21" customHeight="1" spans="1:8" x14ac:dyDescent="0.25">
      <c r="A17" s="11" t="s">
        <v>53</v>
      </c>
      <c r="B17" s="11" t="s">
        <v>54</v>
      </c>
      <c r="C17" s="6" t="s">
        <v>39</v>
      </c>
      <c r="D17" s="12" t="str">
        <f>IF(E17&gt;=INDEX(Rubric!$C$5:$C$10,MATCH(C17,Rubric!$A$5:$A$10,0)),"Excellent",IF(E17&gt;=INDEX(Rubric!$D$5:$D$10,MATCH(C17,Rubric!$A$5:$A$10,0)),"Good","Needs Work"))</f>
        <v>Needs Work</v>
      </c>
      <c r="E17" s="13">
        <v>4</v>
      </c>
      <c r="F17" s="14">
        <f>INDEX(Rubric!$B$5:$B$10,MATCH(C17,Rubric!$A$5:$A$10,0))</f>
        <v>30</v>
      </c>
      <c r="G17" s="6" t="s">
        <v>59</v>
      </c>
      <c r="H17" s="11" t="s">
        <v>60</v>
      </c>
    </row>
    <row r="18" ht="21" customHeight="1" spans="1:8" x14ac:dyDescent="0.25">
      <c r="A18" s="11" t="s">
        <v>53</v>
      </c>
      <c r="B18" s="11" t="s">
        <v>54</v>
      </c>
      <c r="C18" s="6" t="s">
        <v>42</v>
      </c>
      <c r="D18" s="12" t="str">
        <f>IF(E18&gt;=INDEX(Rubric!$C$5:$C$10,MATCH(C18,Rubric!$A$5:$A$10,0)),"Excellent",IF(E18&gt;=INDEX(Rubric!$D$5:$D$10,MATCH(C18,Rubric!$A$5:$A$10,0)),"Good","Needs Work"))</f>
        <v>Needs Work</v>
      </c>
      <c r="E18" s="13">
        <v>6</v>
      </c>
      <c r="F18" s="14">
        <f>INDEX(Rubric!$B$5:$B$10,MATCH(C18,Rubric!$A$5:$A$10,0))</f>
        <v>25</v>
      </c>
      <c r="G18" s="6" t="s">
        <v>61</v>
      </c>
      <c r="H18" s="11" t="s">
        <v>62</v>
      </c>
    </row>
    <row r="19" ht="21" customHeight="1" spans="1:8" x14ac:dyDescent="0.25">
      <c r="A19" s="11" t="s">
        <v>53</v>
      </c>
      <c r="B19" s="11" t="s">
        <v>54</v>
      </c>
      <c r="C19" s="6" t="s">
        <v>45</v>
      </c>
      <c r="D19" s="12" t="str">
        <f>IF(E19&gt;=INDEX(Rubric!$C$5:$C$10,MATCH(C19,Rubric!$A$5:$A$10,0)),"Excellent",IF(E19&gt;=INDEX(Rubric!$D$5:$D$10,MATCH(C19,Rubric!$A$5:$A$10,0)),"Good","Needs Work"))</f>
        <v>Needs Work</v>
      </c>
      <c r="E19" s="13">
        <v>7</v>
      </c>
      <c r="F19" s="14">
        <f>INDEX(Rubric!$B$5:$B$10,MATCH(C19,Rubric!$A$5:$A$10,0))</f>
        <v>35</v>
      </c>
      <c r="G19" s="6" t="s">
        <v>63</v>
      </c>
      <c r="H19" s="11" t="s">
        <v>64</v>
      </c>
    </row>
    <row r="20" ht="21" customHeight="1" spans="1:8" x14ac:dyDescent="0.25">
      <c r="A20" s="11" t="s">
        <v>53</v>
      </c>
      <c r="B20" s="11" t="s">
        <v>54</v>
      </c>
      <c r="C20" s="6" t="s">
        <v>48</v>
      </c>
      <c r="D20" s="12" t="str">
        <f>IF(E20&gt;=INDEX(Rubric!$C$5:$C$10,MATCH(C20,Rubric!$A$5:$A$10,0)),"Excellent",IF(E20&gt;=INDEX(Rubric!$D$5:$D$10,MATCH(C20,Rubric!$A$5:$A$10,0)),"Good","Needs Work"))</f>
        <v>Excellent</v>
      </c>
      <c r="E20" s="13">
        <v>18</v>
      </c>
      <c r="F20" s="14">
        <f>INDEX(Rubric!$B$5:$B$10,MATCH(C20,Rubric!$A$5:$A$10,0))</f>
        <v>20</v>
      </c>
      <c r="G20" s="6" t="s">
        <v>65</v>
      </c>
      <c r="H20" s="11" t="s">
        <v>66</v>
      </c>
    </row>
    <row r="21" ht="22" customHeight="1" spans="1:8" x14ac:dyDescent="0.25">
      <c r="A21" s="9"/>
      <c r="B21" s="9"/>
      <c r="C21" s="7" t="s">
        <v>51</v>
      </c>
      <c r="D21" s="9"/>
      <c r="E21" s="15">
        <f>SUM(E15:E20)</f>
        <v>50</v>
      </c>
      <c r="F21" s="15">
        <f>SUM(F15:F20)</f>
        <v>200</v>
      </c>
      <c r="G21" s="9"/>
      <c r="H21" s="9"/>
    </row>
    <row r="23" ht="22" customHeight="1" spans="1:8" x14ac:dyDescent="0.25">
      <c r="A23" s="10" t="s">
        <v>67</v>
      </c>
      <c r="B23" s="10"/>
      <c r="C23" s="10"/>
      <c r="D23" s="10"/>
      <c r="E23" s="10"/>
      <c r="F23" s="10"/>
      <c r="G23" s="10"/>
      <c r="H23" s="10"/>
    </row>
    <row r="24" ht="21" customHeight="1" spans="1:8" x14ac:dyDescent="0.25">
      <c r="A24" s="11" t="s">
        <v>68</v>
      </c>
      <c r="B24" s="11" t="s">
        <v>69</v>
      </c>
      <c r="C24" s="6" t="s">
        <v>33</v>
      </c>
      <c r="D24" s="12" t="str">
        <f>IF(E24&gt;=INDEX(Rubric!$C$5:$C$10,MATCH(C24,Rubric!$A$5:$A$10,0)),"Excellent",IF(E24&gt;=INDEX(Rubric!$D$5:$D$10,MATCH(C24,Rubric!$A$5:$A$10,0)),"Good","Needs Work"))</f>
        <v>Needs Work</v>
      </c>
      <c r="E24" s="13">
        <v>25</v>
      </c>
      <c r="F24" s="14">
        <f>INDEX(Rubric!$B$5:$B$10,MATCH(C24,Rubric!$A$5:$A$10,0))</f>
        <v>40</v>
      </c>
      <c r="G24" s="6" t="s">
        <v>70</v>
      </c>
      <c r="H24" s="11" t="s">
        <v>71</v>
      </c>
    </row>
    <row r="25" ht="21" customHeight="1" spans="1:8" x14ac:dyDescent="0.25">
      <c r="A25" s="11" t="s">
        <v>68</v>
      </c>
      <c r="B25" s="11" t="s">
        <v>69</v>
      </c>
      <c r="C25" s="6" t="s">
        <v>36</v>
      </c>
      <c r="D25" s="12" t="str">
        <f>IF(E25&gt;=INDEX(Rubric!$C$5:$C$10,MATCH(C25,Rubric!$A$5:$A$10,0)),"Excellent",IF(E25&gt;=INDEX(Rubric!$D$5:$D$10,MATCH(C25,Rubric!$A$5:$A$10,0)),"Good","Needs Work"))</f>
        <v>Good</v>
      </c>
      <c r="E25" s="13">
        <v>41</v>
      </c>
      <c r="F25" s="14">
        <f>INDEX(Rubric!$B$5:$B$10,MATCH(C25,Rubric!$A$5:$A$10,0))</f>
        <v>50</v>
      </c>
      <c r="G25" s="6" t="s">
        <v>72</v>
      </c>
      <c r="H25" s="11" t="s">
        <v>73</v>
      </c>
    </row>
    <row r="26" ht="21" customHeight="1" spans="1:8" x14ac:dyDescent="0.25">
      <c r="A26" s="11" t="s">
        <v>68</v>
      </c>
      <c r="B26" s="11" t="s">
        <v>69</v>
      </c>
      <c r="C26" s="6" t="s">
        <v>39</v>
      </c>
      <c r="D26" s="12" t="str">
        <f>IF(E26&gt;=INDEX(Rubric!$C$5:$C$10,MATCH(C26,Rubric!$A$5:$A$10,0)),"Excellent",IF(E26&gt;=INDEX(Rubric!$D$5:$D$10,MATCH(C26,Rubric!$A$5:$A$10,0)),"Good","Needs Work"))</f>
        <v>Good</v>
      </c>
      <c r="E26" s="13">
        <v>22</v>
      </c>
      <c r="F26" s="14">
        <f>INDEX(Rubric!$B$5:$B$10,MATCH(C26,Rubric!$A$5:$A$10,0))</f>
        <v>30</v>
      </c>
      <c r="G26" s="6" t="s">
        <v>74</v>
      </c>
      <c r="H26" s="11" t="s">
        <v>75</v>
      </c>
    </row>
    <row r="27" ht="21" customHeight="1" spans="1:8" x14ac:dyDescent="0.25">
      <c r="A27" s="11" t="s">
        <v>68</v>
      </c>
      <c r="B27" s="11" t="s">
        <v>69</v>
      </c>
      <c r="C27" s="6" t="s">
        <v>42</v>
      </c>
      <c r="D27" s="12" t="str">
        <f>IF(E27&gt;=INDEX(Rubric!$C$5:$C$10,MATCH(C27,Rubric!$A$5:$A$10,0)),"Excellent",IF(E27&gt;=INDEX(Rubric!$D$5:$D$10,MATCH(C27,Rubric!$A$5:$A$10,0)),"Good","Needs Work"))</f>
        <v>Good</v>
      </c>
      <c r="E27" s="13">
        <v>20</v>
      </c>
      <c r="F27" s="14">
        <f>INDEX(Rubric!$B$5:$B$10,MATCH(C27,Rubric!$A$5:$A$10,0))</f>
        <v>25</v>
      </c>
      <c r="G27" s="6" t="s">
        <v>76</v>
      </c>
      <c r="H27" s="11" t="s">
        <v>77</v>
      </c>
    </row>
    <row r="28" ht="36" customHeight="1" spans="1:8" x14ac:dyDescent="0.25">
      <c r="A28" s="11" t="s">
        <v>68</v>
      </c>
      <c r="B28" s="11" t="s">
        <v>69</v>
      </c>
      <c r="C28" s="6" t="s">
        <v>45</v>
      </c>
      <c r="D28" s="12" t="str">
        <f>IF(E28&gt;=INDEX(Rubric!$C$5:$C$10,MATCH(C28,Rubric!$A$5:$A$10,0)),"Excellent",IF(E28&gt;=INDEX(Rubric!$D$5:$D$10,MATCH(C28,Rubric!$A$5:$A$10,0)),"Good","Needs Work"))</f>
        <v>Needs Work</v>
      </c>
      <c r="E28" s="13">
        <v>22</v>
      </c>
      <c r="F28" s="14">
        <f>INDEX(Rubric!$B$5:$B$10,MATCH(C28,Rubric!$A$5:$A$10,0))</f>
        <v>35</v>
      </c>
      <c r="G28" s="6" t="s">
        <v>78</v>
      </c>
      <c r="H28" s="11" t="s">
        <v>79</v>
      </c>
    </row>
    <row r="29" ht="21" customHeight="1" spans="1:8" x14ac:dyDescent="0.25">
      <c r="A29" s="11" t="s">
        <v>68</v>
      </c>
      <c r="B29" s="11" t="s">
        <v>69</v>
      </c>
      <c r="C29" s="6" t="s">
        <v>48</v>
      </c>
      <c r="D29" s="12" t="str">
        <f>IF(E29&gt;=INDEX(Rubric!$C$5:$C$10,MATCH(C29,Rubric!$A$5:$A$10,0)),"Excellent",IF(E29&gt;=INDEX(Rubric!$D$5:$D$10,MATCH(C29,Rubric!$A$5:$A$10,0)),"Good","Needs Work"))</f>
        <v>Needs Work</v>
      </c>
      <c r="E29" s="13">
        <v>10</v>
      </c>
      <c r="F29" s="14">
        <f>INDEX(Rubric!$B$5:$B$10,MATCH(C29,Rubric!$A$5:$A$10,0))</f>
        <v>20</v>
      </c>
      <c r="G29" s="6" t="s">
        <v>80</v>
      </c>
      <c r="H29" s="11" t="s">
        <v>81</v>
      </c>
    </row>
    <row r="30" ht="22" customHeight="1" spans="1:8" x14ac:dyDescent="0.25">
      <c r="A30" s="9"/>
      <c r="B30" s="9"/>
      <c r="C30" s="7" t="s">
        <v>51</v>
      </c>
      <c r="D30" s="9"/>
      <c r="E30" s="15">
        <f>SUM(E24:E29)</f>
        <v>140</v>
      </c>
      <c r="F30" s="15">
        <f>SUM(F24:F29)</f>
        <v>200</v>
      </c>
      <c r="G30" s="9"/>
      <c r="H30" s="9"/>
    </row>
    <row r="32" ht="22" customHeight="1" spans="1:8" x14ac:dyDescent="0.25">
      <c r="A32" s="10" t="s">
        <v>82</v>
      </c>
      <c r="B32" s="10"/>
      <c r="C32" s="10"/>
      <c r="D32" s="10"/>
      <c r="E32" s="10"/>
      <c r="F32" s="10"/>
      <c r="G32" s="10"/>
      <c r="H32" s="10"/>
    </row>
    <row r="33" ht="21" customHeight="1" spans="1:8" x14ac:dyDescent="0.25">
      <c r="A33" s="11" t="s">
        <v>83</v>
      </c>
      <c r="B33" s="11" t="s">
        <v>84</v>
      </c>
      <c r="C33" s="6" t="s">
        <v>33</v>
      </c>
      <c r="D33" s="12" t="str">
        <f>IF(E33&gt;=INDEX(Rubric!$C$5:$C$10,MATCH(C33,Rubric!$A$5:$A$10,0)),"Excellent",IF(E33&gt;=INDEX(Rubric!$D$5:$D$10,MATCH(C33,Rubric!$A$5:$A$10,0)),"Good","Needs Work"))</f>
        <v>Excellent</v>
      </c>
      <c r="E33" s="13">
        <v>39</v>
      </c>
      <c r="F33" s="14">
        <f>INDEX(Rubric!$B$5:$B$10,MATCH(C33,Rubric!$A$5:$A$10,0))</f>
        <v>40</v>
      </c>
      <c r="G33" s="6" t="s">
        <v>85</v>
      </c>
      <c r="H33" s="11" t="s">
        <v>86</v>
      </c>
    </row>
    <row r="34" ht="21" customHeight="1" spans="1:8" x14ac:dyDescent="0.25">
      <c r="A34" s="11" t="s">
        <v>83</v>
      </c>
      <c r="B34" s="11" t="s">
        <v>84</v>
      </c>
      <c r="C34" s="6" t="s">
        <v>36</v>
      </c>
      <c r="D34" s="12" t="str">
        <f>IF(E34&gt;=INDEX(Rubric!$C$5:$C$10,MATCH(C34,Rubric!$A$5:$A$10,0)),"Excellent",IF(E34&gt;=INDEX(Rubric!$D$5:$D$10,MATCH(C34,Rubric!$A$5:$A$10,0)),"Good","Needs Work"))</f>
        <v>Excellent</v>
      </c>
      <c r="E34" s="13">
        <v>48</v>
      </c>
      <c r="F34" s="14">
        <f>INDEX(Rubric!$B$5:$B$10,MATCH(C34,Rubric!$A$5:$A$10,0))</f>
        <v>50</v>
      </c>
      <c r="G34" s="6" t="s">
        <v>87</v>
      </c>
      <c r="H34" s="11" t="s">
        <v>88</v>
      </c>
    </row>
    <row r="35" ht="21" customHeight="1" spans="1:8" x14ac:dyDescent="0.25">
      <c r="A35" s="11" t="s">
        <v>83</v>
      </c>
      <c r="B35" s="11" t="s">
        <v>84</v>
      </c>
      <c r="C35" s="6" t="s">
        <v>39</v>
      </c>
      <c r="D35" s="12" t="str">
        <f>IF(E35&gt;=INDEX(Rubric!$C$5:$C$10,MATCH(C35,Rubric!$A$5:$A$10,0)),"Excellent",IF(E35&gt;=INDEX(Rubric!$D$5:$D$10,MATCH(C35,Rubric!$A$5:$A$10,0)),"Good","Needs Work"))</f>
        <v>Excellent</v>
      </c>
      <c r="E35" s="13">
        <v>28</v>
      </c>
      <c r="F35" s="14">
        <f>INDEX(Rubric!$B$5:$B$10,MATCH(C35,Rubric!$A$5:$A$10,0))</f>
        <v>30</v>
      </c>
      <c r="G35" s="6" t="s">
        <v>89</v>
      </c>
      <c r="H35" s="11" t="s">
        <v>90</v>
      </c>
    </row>
    <row r="36" ht="21" customHeight="1" spans="1:8" x14ac:dyDescent="0.25">
      <c r="A36" s="11" t="s">
        <v>83</v>
      </c>
      <c r="B36" s="11" t="s">
        <v>84</v>
      </c>
      <c r="C36" s="6" t="s">
        <v>42</v>
      </c>
      <c r="D36" s="12" t="str">
        <f>IF(E36&gt;=INDEX(Rubric!$C$5:$C$10,MATCH(C36,Rubric!$A$5:$A$10,0)),"Excellent",IF(E36&gt;=INDEX(Rubric!$D$5:$D$10,MATCH(C36,Rubric!$A$5:$A$10,0)),"Good","Needs Work"))</f>
        <v>Excellent</v>
      </c>
      <c r="E36" s="13">
        <v>23</v>
      </c>
      <c r="F36" s="14">
        <f>INDEX(Rubric!$B$5:$B$10,MATCH(C36,Rubric!$A$5:$A$10,0))</f>
        <v>25</v>
      </c>
      <c r="G36" s="6" t="s">
        <v>91</v>
      </c>
      <c r="H36" s="11" t="s">
        <v>92</v>
      </c>
    </row>
    <row r="37" ht="21" customHeight="1" spans="1:8" x14ac:dyDescent="0.25">
      <c r="A37" s="11" t="s">
        <v>83</v>
      </c>
      <c r="B37" s="11" t="s">
        <v>84</v>
      </c>
      <c r="C37" s="6" t="s">
        <v>45</v>
      </c>
      <c r="D37" s="12" t="str">
        <f>IF(E37&gt;=INDEX(Rubric!$C$5:$C$10,MATCH(C37,Rubric!$A$5:$A$10,0)),"Excellent",IF(E37&gt;=INDEX(Rubric!$D$5:$D$10,MATCH(C37,Rubric!$A$5:$A$10,0)),"Good","Needs Work"))</f>
        <v>Excellent</v>
      </c>
      <c r="E37" s="13">
        <v>32</v>
      </c>
      <c r="F37" s="14">
        <f>INDEX(Rubric!$B$5:$B$10,MATCH(C37,Rubric!$A$5:$A$10,0))</f>
        <v>35</v>
      </c>
      <c r="G37" s="6" t="s">
        <v>93</v>
      </c>
      <c r="H37" s="11" t="s">
        <v>94</v>
      </c>
    </row>
    <row r="38" ht="21" customHeight="1" spans="1:8" x14ac:dyDescent="0.25">
      <c r="A38" s="11" t="s">
        <v>83</v>
      </c>
      <c r="B38" s="11" t="s">
        <v>84</v>
      </c>
      <c r="C38" s="6" t="s">
        <v>48</v>
      </c>
      <c r="D38" s="12" t="str">
        <f>IF(E38&gt;=INDEX(Rubric!$C$5:$C$10,MATCH(C38,Rubric!$A$5:$A$10,0)),"Excellent",IF(E38&gt;=INDEX(Rubric!$D$5:$D$10,MATCH(C38,Rubric!$A$5:$A$10,0)),"Good","Needs Work"))</f>
        <v>Excellent</v>
      </c>
      <c r="E38" s="13">
        <v>20</v>
      </c>
      <c r="F38" s="14">
        <f>INDEX(Rubric!$B$5:$B$10,MATCH(C38,Rubric!$A$5:$A$10,0))</f>
        <v>20</v>
      </c>
      <c r="G38" s="6" t="s">
        <v>95</v>
      </c>
      <c r="H38" s="11" t="s">
        <v>96</v>
      </c>
    </row>
    <row r="39" ht="22" customHeight="1" spans="1:8" x14ac:dyDescent="0.25">
      <c r="A39" s="9"/>
      <c r="B39" s="9"/>
      <c r="C39" s="7" t="s">
        <v>51</v>
      </c>
      <c r="D39" s="9"/>
      <c r="E39" s="15">
        <f>SUM(E33:E38)</f>
        <v>190</v>
      </c>
      <c r="F39" s="15">
        <f>SUM(F33:F38)</f>
        <v>200</v>
      </c>
      <c r="G39" s="9"/>
      <c r="H39" s="9"/>
    </row>
  </sheetData>
  <mergeCells count="4">
    <mergeCell ref="A5:H5"/>
    <mergeCell ref="A14:H14"/>
    <mergeCell ref="A23:H23"/>
    <mergeCell ref="A32:H32"/>
  </mergeCells>
  <conditionalFormatting sqref="D5:D41">
    <cfRule type="expression" dxfId="2" priority="1">
      <formula>$D5="Excellent"</formula>
    </cfRule>
    <cfRule type="expression" dxfId="3" priority="2">
      <formula>$D5="Good"</formula>
    </cfRule>
    <cfRule type="expression" dxfId="4" priority="3">
      <formula>$D5="Needs Work"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10" customWidth="1"/>
    <col min="3" max="3" width="16" customWidth="1"/>
    <col min="4" max="4" width="12" customWidth="1"/>
    <col min="5" max="5" width="14" customWidth="1"/>
  </cols>
  <sheetData>
    <row r="1" ht="26" customHeight="1" spans="1:1" x14ac:dyDescent="0.25">
      <c r="A1" s="1" t="s">
        <v>97</v>
      </c>
    </row>
    <row r="2" spans="1:1" x14ac:dyDescent="0.25">
      <c r="A2" s="2" t="s">
        <v>98</v>
      </c>
    </row>
    <row r="3" ht="8" customHeight="1" x14ac:dyDescent="0.25"/>
    <row r="4" ht="24" customHeight="1" spans="1:5" x14ac:dyDescent="0.25">
      <c r="A4" s="3" t="s">
        <v>24</v>
      </c>
      <c r="B4" s="3" t="s">
        <v>99</v>
      </c>
      <c r="C4" s="3" t="s">
        <v>100</v>
      </c>
      <c r="D4" s="3" t="s">
        <v>101</v>
      </c>
      <c r="E4" s="3" t="s">
        <v>102</v>
      </c>
    </row>
    <row r="5" spans="1:5" x14ac:dyDescent="0.25">
      <c r="A5" s="6" t="s">
        <v>33</v>
      </c>
      <c r="B5" s="12">
        <v>40</v>
      </c>
      <c r="C5" s="12">
        <v>36</v>
      </c>
      <c r="D5" s="12">
        <v>28</v>
      </c>
      <c r="E5" s="12" t="str">
        <f>"0 to "&amp;(D5-1)</f>
        <v>0 to 27</v>
      </c>
    </row>
    <row r="6" spans="1:5" x14ac:dyDescent="0.25">
      <c r="A6" s="9" t="s">
        <v>36</v>
      </c>
      <c r="B6" s="16">
        <v>50</v>
      </c>
      <c r="C6" s="16">
        <v>45</v>
      </c>
      <c r="D6" s="16">
        <v>35</v>
      </c>
      <c r="E6" s="16" t="str">
        <f>"0 to "&amp;(D6-1)</f>
        <v>0 to 34</v>
      </c>
    </row>
    <row r="7" spans="1:5" x14ac:dyDescent="0.25">
      <c r="A7" s="6" t="s">
        <v>39</v>
      </c>
      <c r="B7" s="12">
        <v>30</v>
      </c>
      <c r="C7" s="12">
        <v>27</v>
      </c>
      <c r="D7" s="12">
        <v>21</v>
      </c>
      <c r="E7" s="12" t="str">
        <f>"0 to "&amp;(D7-1)</f>
        <v>0 to 20</v>
      </c>
    </row>
    <row r="8" spans="1:5" x14ac:dyDescent="0.25">
      <c r="A8" s="9" t="s">
        <v>42</v>
      </c>
      <c r="B8" s="16">
        <v>25</v>
      </c>
      <c r="C8" s="16">
        <v>23</v>
      </c>
      <c r="D8" s="16">
        <v>17</v>
      </c>
      <c r="E8" s="16" t="str">
        <f>"0 to "&amp;(D8-1)</f>
        <v>0 to 16</v>
      </c>
    </row>
    <row r="9" spans="1:5" x14ac:dyDescent="0.25">
      <c r="A9" s="6" t="s">
        <v>45</v>
      </c>
      <c r="B9" s="12">
        <v>35</v>
      </c>
      <c r="C9" s="12">
        <v>32</v>
      </c>
      <c r="D9" s="12">
        <v>24</v>
      </c>
      <c r="E9" s="12" t="str">
        <f>"0 to "&amp;(D9-1)</f>
        <v>0 to 23</v>
      </c>
    </row>
    <row r="10" spans="1:5" x14ac:dyDescent="0.25">
      <c r="A10" s="9" t="s">
        <v>48</v>
      </c>
      <c r="B10" s="16">
        <v>20</v>
      </c>
      <c r="C10" s="16">
        <v>18</v>
      </c>
      <c r="D10" s="16">
        <v>14</v>
      </c>
      <c r="E10" s="16" t="str">
        <f>"0 to "&amp;(D10-1)</f>
        <v>0 to 13</v>
      </c>
    </row>
    <row r="11" spans="1:2" x14ac:dyDescent="0.25">
      <c r="A11" s="4" t="s">
        <v>103</v>
      </c>
      <c r="B11" s="17">
        <f>SUM(B5:B10)</f>
        <v>200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Grades</vt:lpstr>
      <vt:lpstr>Details</vt:lpstr>
      <vt:lpstr>Rubric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EasyGrade</dc:creator>
  <dc:title/>
  <dc:subject/>
  <dc:description/>
  <cp:keywords/>
  <cp:category/>
  <cp:lastModifiedBy>Unknown</cp:lastModifiedBy>
  <dcterms:created xsi:type="dcterms:W3CDTF">2026-10-08T18:09:22Z</dcterms:created>
  <dcterms:modified xsi:type="dcterms:W3CDTF">2026-10-08T18:09:22Z</dcterms:modified>
</cp:coreProperties>
</file>