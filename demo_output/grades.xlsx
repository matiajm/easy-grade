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Feedback" sheetId="3" state="visible" r:id="rId3"/>
    <sheet name="Flags" sheetId="4" state="visible" r:id="rId4"/>
    <sheet name="Rubric" sheetId="5" state="visible" r:id="rId5"/>
  </sheets>
  <definedNames>
    <definedName name="_xlnm._FilterDatabase" localSheetId="0" hidden="1">'Summary'!$A$1:$P$11</definedName>
    <definedName name="_xlnm._FilterDatabase" localSheetId="1" hidden="1">'Detail'!$A$1:$L$71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8" customWidth="1" min="13" max="13"/>
    <col width="9" customWidth="1" min="14" max="14"/>
    <col width="6" customWidth="1" min="15" max="15"/>
    <col width="60" customWidth="1" min="16" max="16"/>
  </cols>
  <sheetData>
    <row r="1" ht="32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Data Cleaning (15)</t>
        </is>
      </c>
      <c r="F1" s="1" t="inlineStr">
        <is>
          <t>Exploratory Analysis (15)</t>
        </is>
      </c>
      <c r="G1" s="1" t="inlineStr">
        <is>
          <t>Model &amp; Evaluation (20)</t>
        </is>
      </c>
      <c r="H1" s="1" t="inlineStr">
        <is>
          <t>Code Runs &amp; Readability (10)</t>
        </is>
      </c>
      <c r="I1" s="1" t="inlineStr">
        <is>
          <t>Explains Reasoning (20)</t>
        </is>
      </c>
      <c r="J1" s="1" t="inlineStr">
        <is>
          <t>Walkthrough Clarity (10)</t>
        </is>
      </c>
      <c r="K1" s="1" t="inlineStr">
        <is>
          <t>Video Matches Notebook (10)</t>
        </is>
      </c>
      <c r="L1" s="1" t="inlineStr">
        <is>
          <t>Total</t>
        </is>
      </c>
      <c r="M1" s="1" t="inlineStr">
        <is>
          <t>Out of</t>
        </is>
      </c>
      <c r="N1" s="1" t="inlineStr">
        <is>
          <t>Percent</t>
        </is>
      </c>
      <c r="O1" s="1" t="inlineStr">
        <is>
          <t>Late</t>
        </is>
      </c>
      <c r="P1" s="2" t="inlineStr">
        <is>
          <t>Flags</t>
        </is>
      </c>
    </row>
    <row r="2">
      <c r="A2" s="3" t="inlineStr">
        <is>
          <t>1001</t>
        </is>
      </c>
      <c r="B2" s="3" t="inlineStr">
        <is>
          <t>Ana Ruiz</t>
        </is>
      </c>
      <c r="C2" s="3" t="inlineStr">
        <is>
          <t>ana.ruiz@example.edu</t>
        </is>
      </c>
      <c r="D2" s="4" t="inlineStr">
        <is>
          <t>Approved</t>
        </is>
      </c>
      <c r="E2" s="3" t="n">
        <v>11</v>
      </c>
      <c r="F2" s="3" t="n">
        <v>11</v>
      </c>
      <c r="G2" s="3" t="n">
        <v>8</v>
      </c>
      <c r="H2" s="3" t="n">
        <v>3</v>
      </c>
      <c r="I2" s="3" t="n">
        <v>15</v>
      </c>
      <c r="J2" s="3" t="n">
        <v>7</v>
      </c>
      <c r="K2" s="3" t="n">
        <v>5</v>
      </c>
      <c r="L2" s="3">
        <f>IF(COUNT(E2:K2)=7,SUM(E2:K2),"")</f>
        <v/>
      </c>
      <c r="M2" s="3" t="n">
        <v>100</v>
      </c>
      <c r="N2" s="5">
        <f>IF(L2="","",L2/M2)</f>
        <v/>
      </c>
      <c r="O2" s="3" t="inlineStr"/>
      <c r="P2" s="3" t="inlineStr"/>
    </row>
    <row r="3">
      <c r="A3" s="3" t="inlineStr">
        <is>
          <t>1004</t>
        </is>
      </c>
      <c r="B3" s="3" t="inlineStr">
        <is>
          <t>Diego Santos</t>
        </is>
      </c>
      <c r="C3" s="3" t="inlineStr">
        <is>
          <t>diego.santos@example.edu</t>
        </is>
      </c>
      <c r="D3" s="4" t="inlineStr">
        <is>
          <t>Approved</t>
        </is>
      </c>
      <c r="E3" s="3" t="n">
        <v>15</v>
      </c>
      <c r="F3" s="3" t="n">
        <v>15</v>
      </c>
      <c r="G3" s="3" t="n">
        <v>20</v>
      </c>
      <c r="H3" s="3" t="n">
        <v>10</v>
      </c>
      <c r="I3" s="3" t="n">
        <v>15</v>
      </c>
      <c r="J3" s="3" t="n">
        <v>7</v>
      </c>
      <c r="K3" s="3" t="n">
        <v>10</v>
      </c>
      <c r="L3" s="3">
        <f>IF(COUNT(E3:K3)=7,SUM(E3:K3),"")</f>
        <v/>
      </c>
      <c r="M3" s="3" t="n">
        <v>100</v>
      </c>
      <c r="N3" s="5">
        <f>IF(L3="","",L3/M3)</f>
        <v/>
      </c>
      <c r="O3" s="3" t="inlineStr">
        <is>
          <t>Yes</t>
        </is>
      </c>
      <c r="P3" s="3" t="inlineStr">
        <is>
          <t>Submitted late</t>
        </is>
      </c>
    </row>
    <row r="4">
      <c r="A4" s="3" t="inlineStr">
        <is>
          <t>1005</t>
        </is>
      </c>
      <c r="B4" s="3" t="inlineStr">
        <is>
          <t>Hannah Cole</t>
        </is>
      </c>
      <c r="C4" s="3" t="inlineStr">
        <is>
          <t>hannah.cole@example.edu</t>
        </is>
      </c>
      <c r="D4" s="6" t="inlineStr">
        <is>
          <t>Needs review</t>
        </is>
      </c>
      <c r="E4" s="3" t="n">
        <v>11</v>
      </c>
      <c r="F4" s="3" t="n">
        <v>6</v>
      </c>
      <c r="G4" s="3" t="n">
        <v>15</v>
      </c>
      <c r="H4" s="7" t="n">
        <v>3</v>
      </c>
      <c r="I4" s="3" t="n">
        <v>15</v>
      </c>
      <c r="J4" s="3" t="n">
        <v>7</v>
      </c>
      <c r="K4" s="3" t="n">
        <v>5</v>
      </c>
      <c r="L4" s="3">
        <f>IF(COUNT(E4:K4)=7,SUM(E4:K4),"")</f>
        <v/>
      </c>
      <c r="M4" s="3" t="n">
        <v>100</v>
      </c>
      <c r="N4" s="5">
        <f>IF(L4="","",L4/M4)</f>
        <v/>
      </c>
      <c r="O4" s="3" t="inlineStr"/>
      <c r="P4" s="3" t="inlineStr">
        <is>
          <t>project2.ipynb was saved without outputs (cells were never run)</t>
        </is>
      </c>
    </row>
    <row r="5">
      <c r="A5" s="3" t="inlineStr">
        <is>
          <t>1006</t>
        </is>
      </c>
      <c r="B5" s="3" t="inlineStr">
        <is>
          <t>Jamal Price</t>
        </is>
      </c>
      <c r="C5" s="3" t="inlineStr">
        <is>
          <t>jamal.price@example.edu</t>
        </is>
      </c>
      <c r="D5" s="4" t="inlineStr">
        <is>
          <t>Approved</t>
        </is>
      </c>
      <c r="E5" s="3" t="n">
        <v>11</v>
      </c>
      <c r="F5" s="3" t="n">
        <v>15</v>
      </c>
      <c r="G5" s="3" t="n">
        <v>15</v>
      </c>
      <c r="H5" s="3" t="n">
        <v>7</v>
      </c>
      <c r="I5" s="3" t="n">
        <v>15</v>
      </c>
      <c r="J5" s="3" t="n">
        <v>7</v>
      </c>
      <c r="K5" s="3" t="n">
        <v>5</v>
      </c>
      <c r="L5" s="3">
        <f>IF(COUNT(E5:K5)=7,SUM(E5:K5),"")</f>
        <v/>
      </c>
      <c r="M5" s="3" t="n">
        <v>100</v>
      </c>
      <c r="N5" s="5">
        <f>IF(L5="","",L5/M5)</f>
        <v/>
      </c>
      <c r="O5" s="3" t="inlineStr"/>
      <c r="P5" s="3" t="inlineStr"/>
    </row>
    <row r="6">
      <c r="A6" s="3" t="inlineStr">
        <is>
          <t>1008</t>
        </is>
      </c>
      <c r="B6" s="3" t="inlineStr">
        <is>
          <t>Kevin Tran</t>
        </is>
      </c>
      <c r="C6" s="3" t="inlineStr">
        <is>
          <t>kevin.tran@example.edu</t>
        </is>
      </c>
      <c r="D6" s="6" t="inlineStr">
        <is>
          <t>Needs review</t>
        </is>
      </c>
      <c r="E6" s="3" t="n">
        <v>15</v>
      </c>
      <c r="F6" s="3" t="n">
        <v>15</v>
      </c>
      <c r="G6" s="3" t="n">
        <v>15</v>
      </c>
      <c r="H6" s="3" t="n">
        <v>10</v>
      </c>
      <c r="I6" s="3" t="n">
        <v>0</v>
      </c>
      <c r="J6" s="3" t="n">
        <v>0</v>
      </c>
      <c r="K6" s="3" t="n">
        <v>0</v>
      </c>
      <c r="L6" s="3">
        <f>IF(COUNT(E6:K6)=7,SUM(E6:K6),"")</f>
        <v/>
      </c>
      <c r="M6" s="3" t="n">
        <v>100</v>
      </c>
      <c r="N6" s="5">
        <f>IF(L6="","",L6/M6)</f>
        <v/>
      </c>
      <c r="O6" s="3" t="inlineStr"/>
      <c r="P6" s="3" t="inlineStr">
        <is>
          <t>No video found</t>
        </is>
      </c>
    </row>
    <row r="7">
      <c r="A7" s="3" t="inlineStr">
        <is>
          <t>1009</t>
        </is>
      </c>
      <c r="B7" s="3" t="inlineStr">
        <is>
          <t>Lucia Ferreira</t>
        </is>
      </c>
      <c r="C7" s="3" t="inlineStr">
        <is>
          <t>lucia.ferreira@example.edu</t>
        </is>
      </c>
      <c r="D7" s="4" t="inlineStr">
        <is>
          <t>Approved</t>
        </is>
      </c>
      <c r="E7" s="3" t="n">
        <v>6</v>
      </c>
      <c r="F7" s="3" t="n">
        <v>11</v>
      </c>
      <c r="G7" s="3" t="n">
        <v>15</v>
      </c>
      <c r="H7" s="3" t="n">
        <v>10</v>
      </c>
      <c r="I7" s="3" t="n">
        <v>15</v>
      </c>
      <c r="J7" s="3" t="n">
        <v>3</v>
      </c>
      <c r="K7" s="3" t="n">
        <v>0</v>
      </c>
      <c r="L7" s="3">
        <f>IF(COUNT(E7:K7)=7,SUM(E7:K7),"")</f>
        <v/>
      </c>
      <c r="M7" s="3" t="n">
        <v>100</v>
      </c>
      <c r="N7" s="5">
        <f>IF(L7="","",L7/M7)</f>
        <v/>
      </c>
      <c r="O7" s="3" t="inlineStr"/>
      <c r="P7" s="3" t="inlineStr"/>
    </row>
    <row r="8">
      <c r="A8" s="3" t="inlineStr">
        <is>
          <t>1002</t>
        </is>
      </c>
      <c r="B8" s="3" t="inlineStr">
        <is>
          <t>Marcus Bell</t>
        </is>
      </c>
      <c r="C8" s="3" t="inlineStr">
        <is>
          <t>marcus.bell@example.edu</t>
        </is>
      </c>
      <c r="D8" s="4" t="inlineStr">
        <is>
          <t>Approved</t>
        </is>
      </c>
      <c r="E8" s="3" t="n">
        <v>15</v>
      </c>
      <c r="F8" s="3" t="n">
        <v>15</v>
      </c>
      <c r="G8" s="7" t="n">
        <v>20</v>
      </c>
      <c r="H8" s="3" t="n">
        <v>10</v>
      </c>
      <c r="I8" s="3" t="n">
        <v>20</v>
      </c>
      <c r="J8" s="3" t="n">
        <v>7</v>
      </c>
      <c r="K8" s="3" t="n">
        <v>10</v>
      </c>
      <c r="L8" s="3">
        <f>IF(COUNT(E8:K8)=7,SUM(E8:K8),"")</f>
        <v/>
      </c>
      <c r="M8" s="3" t="n">
        <v>100</v>
      </c>
      <c r="N8" s="5">
        <f>IF(L8="","",L8/M8)</f>
        <v/>
      </c>
      <c r="O8" s="3" t="inlineStr"/>
      <c r="P8" s="3" t="inlineStr"/>
    </row>
    <row r="9">
      <c r="A9" s="3" t="inlineStr">
        <is>
          <t>1010</t>
        </is>
      </c>
      <c r="B9" s="3" t="inlineStr">
        <is>
          <t>Owen Park</t>
        </is>
      </c>
      <c r="C9" s="3" t="inlineStr">
        <is>
          <t>owen.park@example.edu</t>
        </is>
      </c>
      <c r="D9" s="6" t="inlineStr">
        <is>
          <t>Not graded</t>
        </is>
      </c>
      <c r="L9" s="3">
        <f>IF(COUNT(E9:K9)=7,SUM(E9:K9),"")</f>
        <v/>
      </c>
      <c r="M9" s="3" t="n">
        <v>100</v>
      </c>
      <c r="N9" s="5">
        <f>IF(L9="","",L9/M9)</f>
        <v/>
      </c>
      <c r="O9" s="3" t="inlineStr"/>
      <c r="P9" s="3" t="inlineStr">
        <is>
          <t>Nothing submitted</t>
        </is>
      </c>
    </row>
    <row r="10">
      <c r="A10" s="3" t="inlineStr">
        <is>
          <t>1003</t>
        </is>
      </c>
      <c r="B10" s="3" t="inlineStr">
        <is>
          <t>Priya Nair</t>
        </is>
      </c>
      <c r="C10" s="3" t="inlineStr">
        <is>
          <t>priya.nair@example.edu</t>
        </is>
      </c>
      <c r="D10" s="4" t="inlineStr">
        <is>
          <t>Approved</t>
        </is>
      </c>
      <c r="E10" s="3" t="n">
        <v>6</v>
      </c>
      <c r="F10" s="3" t="n">
        <v>11</v>
      </c>
      <c r="G10" s="3" t="n">
        <v>8</v>
      </c>
      <c r="H10" s="3" t="n">
        <v>7</v>
      </c>
      <c r="I10" s="3" t="n">
        <v>0</v>
      </c>
      <c r="J10" s="3" t="n">
        <v>0</v>
      </c>
      <c r="K10" s="3" t="n">
        <v>0</v>
      </c>
      <c r="L10" s="3">
        <f>IF(COUNT(E10:K10)=7,SUM(E10:K10),"")</f>
        <v/>
      </c>
      <c r="M10" s="3" t="n">
        <v>100</v>
      </c>
      <c r="N10" s="5">
        <f>IF(L10="","",L10/M10)</f>
        <v/>
      </c>
      <c r="O10" s="3" t="inlineStr"/>
      <c r="P10" s="3" t="inlineStr">
        <is>
          <t>Video submitted as a link — download it before video grading: https://drive.google.com/file/d/EXAMPLE/view</t>
        </is>
      </c>
    </row>
    <row r="11">
      <c r="A11" s="3" t="inlineStr">
        <is>
          <t>1007</t>
        </is>
      </c>
      <c r="B11" s="3" t="inlineStr">
        <is>
          <t>Sofia Moreno</t>
        </is>
      </c>
      <c r="C11" s="3" t="inlineStr">
        <is>
          <t>sofia.moreno@example.edu</t>
        </is>
      </c>
      <c r="D11" s="4" t="inlineStr">
        <is>
          <t>Approved</t>
        </is>
      </c>
      <c r="E11" s="3" t="n">
        <v>15</v>
      </c>
      <c r="F11" s="3" t="n">
        <v>15</v>
      </c>
      <c r="G11" s="3" t="n">
        <v>15</v>
      </c>
      <c r="H11" s="3" t="n">
        <v>10</v>
      </c>
      <c r="I11" s="3" t="n">
        <v>20</v>
      </c>
      <c r="J11" s="3" t="n">
        <v>10</v>
      </c>
      <c r="K11" s="3" t="n">
        <v>10</v>
      </c>
      <c r="L11" s="3">
        <f>IF(COUNT(E11:K11)=7,SUM(E11:K11),"")</f>
        <v/>
      </c>
      <c r="M11" s="3" t="n">
        <v>100</v>
      </c>
      <c r="N11" s="5">
        <f>IF(L11="","",L11/M11)</f>
        <v/>
      </c>
      <c r="O11" s="3" t="inlineStr"/>
      <c r="P11" s="3" t="inlineStr"/>
    </row>
    <row r="12">
      <c r="B12" s="8" t="inlineStr">
        <is>
          <t>Class average</t>
        </is>
      </c>
      <c r="E12" s="9">
        <f>IFERROR(AVERAGE(E2:E11),"")</f>
        <v/>
      </c>
      <c r="F12" s="9">
        <f>IFERROR(AVERAGE(F2:F11),"")</f>
        <v/>
      </c>
      <c r="G12" s="9">
        <f>IFERROR(AVERAGE(G2:G11),"")</f>
        <v/>
      </c>
      <c r="H12" s="9">
        <f>IFERROR(AVERAGE(H2:H11),"")</f>
        <v/>
      </c>
      <c r="I12" s="9">
        <f>IFERROR(AVERAGE(I2:I11),"")</f>
        <v/>
      </c>
      <c r="J12" s="9">
        <f>IFERROR(AVERAGE(J2:J11),"")</f>
        <v/>
      </c>
      <c r="K12" s="9">
        <f>IFERROR(AVERAGE(K2:K11),"")</f>
        <v/>
      </c>
      <c r="L12" s="9">
        <f>IFERROR(AVERAGE(L2:L11),"")</f>
        <v/>
      </c>
      <c r="N12" s="5">
        <f>IFERROR(AVERAGE(N2:N11),"")</f>
        <v/>
      </c>
    </row>
  </sheetData>
  <autoFilter ref="A1:P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0" customWidth="1" min="4" max="4"/>
    <col width="14" customWidth="1" min="5" max="5"/>
    <col width="9" customWidth="1" min="6" max="6"/>
    <col width="10" customWidth="1" min="7" max="7"/>
    <col width="11" customWidth="1" min="8" max="8"/>
    <col width="11" customWidth="1" min="9" max="9"/>
    <col width="55" customWidth="1" min="10" max="10"/>
    <col width="22" customWidth="1" min="11" max="11"/>
    <col width="40" customWidth="1" min="12" max="12"/>
  </cols>
  <sheetData>
    <row r="1" ht="32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Criterion</t>
        </is>
      </c>
      <c r="D1" s="1" t="inlineStr">
        <is>
          <t>Source</t>
        </is>
      </c>
      <c r="E1" s="1" t="inlineStr">
        <is>
          <t>AI level</t>
        </is>
      </c>
      <c r="F1" s="1" t="inlineStr">
        <is>
          <t>AI score</t>
        </is>
      </c>
      <c r="G1" s="1" t="inlineStr">
        <is>
          <t>Final score</t>
        </is>
      </c>
      <c r="H1" s="1" t="inlineStr">
        <is>
          <t>Changed by professor</t>
        </is>
      </c>
      <c r="I1" s="1" t="inlineStr">
        <is>
          <t>AI confidence</t>
        </is>
      </c>
      <c r="J1" s="1" t="inlineStr">
        <is>
          <t>AI reason</t>
        </is>
      </c>
      <c r="K1" s="1" t="inlineStr">
        <is>
          <t>Evidence</t>
        </is>
      </c>
      <c r="L1" s="1" t="inlineStr">
        <is>
          <t>Professor comment</t>
        </is>
      </c>
    </row>
    <row r="2">
      <c r="A2" s="3" t="inlineStr">
        <is>
          <t>1001</t>
        </is>
      </c>
      <c r="B2" s="3" t="inlineStr">
        <is>
          <t>Ana Ruiz</t>
        </is>
      </c>
      <c r="C2" s="3" t="inlineStr">
        <is>
          <t>Data Cleaning</t>
        </is>
      </c>
      <c r="D2" s="3" t="inlineStr">
        <is>
          <t>notebook</t>
        </is>
      </c>
      <c r="E2" s="3" t="inlineStr">
        <is>
          <t>Proficient</t>
        </is>
      </c>
      <c r="F2" s="3" t="n">
        <v>11</v>
      </c>
      <c r="G2" s="3" t="n">
        <v>11</v>
      </c>
      <c r="H2" s="3" t="inlineStr"/>
      <c r="I2" s="10" t="n">
        <v>0.73</v>
      </c>
      <c r="J2" s="11" t="inlineStr">
        <is>
          <t>Solid work; a few points from the top level are missing or thin.</t>
        </is>
      </c>
      <c r="K2" s="3" t="inlineStr">
        <is>
          <t>cell 18</t>
        </is>
      </c>
      <c r="L2" s="11" t="inlineStr"/>
    </row>
    <row r="3">
      <c r="A3" s="3" t="inlineStr">
        <is>
          <t>1001</t>
        </is>
      </c>
      <c r="B3" s="3" t="inlineStr">
        <is>
          <t>Ana Ruiz</t>
        </is>
      </c>
      <c r="C3" s="3" t="inlineStr">
        <is>
          <t>Exploratory Analysis</t>
        </is>
      </c>
      <c r="D3" s="3" t="inlineStr">
        <is>
          <t>notebook</t>
        </is>
      </c>
      <c r="E3" s="3" t="inlineStr">
        <is>
          <t>Proficient</t>
        </is>
      </c>
      <c r="F3" s="3" t="n">
        <v>11</v>
      </c>
      <c r="G3" s="3" t="n">
        <v>11</v>
      </c>
      <c r="H3" s="3" t="inlineStr"/>
      <c r="I3" s="10" t="n">
        <v>0.7</v>
      </c>
      <c r="J3" s="11" t="inlineStr">
        <is>
          <t>Solid work; a few points from the top level are missing or thin.</t>
        </is>
      </c>
      <c r="K3" s="3" t="inlineStr">
        <is>
          <t>cell 4</t>
        </is>
      </c>
      <c r="L3" s="11" t="inlineStr"/>
    </row>
    <row r="4">
      <c r="A4" s="3" t="inlineStr">
        <is>
          <t>1001</t>
        </is>
      </c>
      <c r="B4" s="3" t="inlineStr">
        <is>
          <t>Ana Ruiz</t>
        </is>
      </c>
      <c r="C4" s="3" t="inlineStr">
        <is>
          <t>Model &amp; Evaluation</t>
        </is>
      </c>
      <c r="D4" s="3" t="inlineStr">
        <is>
          <t>notebook</t>
        </is>
      </c>
      <c r="E4" s="3" t="inlineStr">
        <is>
          <t>Developing</t>
        </is>
      </c>
      <c r="F4" s="3" t="n">
        <v>8</v>
      </c>
      <c r="G4" s="3" t="n">
        <v>8</v>
      </c>
      <c r="H4" s="3" t="inlineStr"/>
      <c r="I4" s="10" t="n">
        <v>0.65</v>
      </c>
      <c r="J4" s="11" t="inlineStr">
        <is>
          <t>Partly there; key steps are missing or not justified.</t>
        </is>
      </c>
      <c r="K4" s="3" t="inlineStr">
        <is>
          <t>cell 20</t>
        </is>
      </c>
      <c r="L4" s="11" t="inlineStr"/>
    </row>
    <row r="5">
      <c r="A5" s="3" t="inlineStr">
        <is>
          <t>1001</t>
        </is>
      </c>
      <c r="B5" s="3" t="inlineStr">
        <is>
          <t>Ana Ruiz</t>
        </is>
      </c>
      <c r="C5" s="3" t="inlineStr">
        <is>
          <t>Code Runs &amp; Readability</t>
        </is>
      </c>
      <c r="D5" s="3" t="inlineStr">
        <is>
          <t>notebook</t>
        </is>
      </c>
      <c r="E5" s="3" t="inlineStr">
        <is>
          <t>Developing</t>
        </is>
      </c>
      <c r="F5" s="3" t="n">
        <v>3</v>
      </c>
      <c r="G5" s="3" t="n">
        <v>3</v>
      </c>
      <c r="H5" s="3" t="inlineStr"/>
      <c r="I5" s="10" t="n">
        <v>0.89</v>
      </c>
      <c r="J5" s="11" t="inlineStr">
        <is>
          <t>Partly there; key steps are missing or not justified.</t>
        </is>
      </c>
      <c r="K5" s="3" t="inlineStr">
        <is>
          <t>cell 19</t>
        </is>
      </c>
      <c r="L5" s="11" t="inlineStr"/>
    </row>
    <row r="6">
      <c r="A6" s="3" t="inlineStr">
        <is>
          <t>1001</t>
        </is>
      </c>
      <c r="B6" s="3" t="inlineStr">
        <is>
          <t>Ana Ruiz</t>
        </is>
      </c>
      <c r="C6" s="3" t="inlineStr">
        <is>
          <t>Explains Reasoning</t>
        </is>
      </c>
      <c r="D6" s="3" t="inlineStr">
        <is>
          <t>video</t>
        </is>
      </c>
      <c r="E6" s="3" t="inlineStr">
        <is>
          <t>Proficient</t>
        </is>
      </c>
      <c r="F6" s="3" t="n">
        <v>15</v>
      </c>
      <c r="G6" s="3" t="n">
        <v>15</v>
      </c>
      <c r="H6" s="3" t="inlineStr"/>
      <c r="I6" s="10" t="n">
        <v>0.59</v>
      </c>
      <c r="J6" s="11" t="inlineStr">
        <is>
          <t>Solid work; a few points from the top level are missing or thin.</t>
        </is>
      </c>
      <c r="K6" s="3" t="inlineStr">
        <is>
          <t>video 03:14</t>
        </is>
      </c>
      <c r="L6" s="11" t="inlineStr"/>
    </row>
    <row r="7">
      <c r="A7" s="3" t="inlineStr">
        <is>
          <t>1001</t>
        </is>
      </c>
      <c r="B7" s="3" t="inlineStr">
        <is>
          <t>Ana Ruiz</t>
        </is>
      </c>
      <c r="C7" s="3" t="inlineStr">
        <is>
          <t>Walkthrough Clarity</t>
        </is>
      </c>
      <c r="D7" s="3" t="inlineStr">
        <is>
          <t>video</t>
        </is>
      </c>
      <c r="E7" s="3" t="inlineStr">
        <is>
          <t>Proficient</t>
        </is>
      </c>
      <c r="F7" s="3" t="n">
        <v>7</v>
      </c>
      <c r="G7" s="3" t="n">
        <v>7</v>
      </c>
      <c r="H7" s="3" t="inlineStr"/>
      <c r="I7" s="10" t="n">
        <v>0.88</v>
      </c>
      <c r="J7" s="11" t="inlineStr">
        <is>
          <t>Solid work; a few points from the top level are missing or thin.</t>
        </is>
      </c>
      <c r="K7" s="3" t="inlineStr">
        <is>
          <t>video 03:29</t>
        </is>
      </c>
      <c r="L7" s="11" t="inlineStr"/>
    </row>
    <row r="8">
      <c r="A8" s="3" t="inlineStr">
        <is>
          <t>1001</t>
        </is>
      </c>
      <c r="B8" s="3" t="inlineStr">
        <is>
          <t>Ana Ruiz</t>
        </is>
      </c>
      <c r="C8" s="3" t="inlineStr">
        <is>
          <t>Video Matches Notebook</t>
        </is>
      </c>
      <c r="D8" s="3" t="inlineStr">
        <is>
          <t>both</t>
        </is>
      </c>
      <c r="E8" s="3" t="inlineStr">
        <is>
          <t>Partial</t>
        </is>
      </c>
      <c r="F8" s="3" t="n">
        <v>5</v>
      </c>
      <c r="G8" s="3" t="n">
        <v>5</v>
      </c>
      <c r="H8" s="3" t="inlineStr"/>
      <c r="I8" s="10" t="n">
        <v>0.7</v>
      </c>
      <c r="J8" s="11" t="inlineStr">
        <is>
          <t>Solid work; a few points from the top level are missing or thin.</t>
        </is>
      </c>
      <c r="K8" s="3" t="inlineStr">
        <is>
          <t>cell 22, video 09:35</t>
        </is>
      </c>
      <c r="L8" s="11" t="inlineStr"/>
    </row>
    <row r="9">
      <c r="A9" s="3" t="inlineStr">
        <is>
          <t>1004</t>
        </is>
      </c>
      <c r="B9" s="3" t="inlineStr">
        <is>
          <t>Diego Santos</t>
        </is>
      </c>
      <c r="C9" s="3" t="inlineStr">
        <is>
          <t>Data Cleaning</t>
        </is>
      </c>
      <c r="D9" s="3" t="inlineStr">
        <is>
          <t>notebook</t>
        </is>
      </c>
      <c r="E9" s="3" t="inlineStr">
        <is>
          <t>Excellent</t>
        </is>
      </c>
      <c r="F9" s="3" t="n">
        <v>15</v>
      </c>
      <c r="G9" s="3" t="n">
        <v>15</v>
      </c>
      <c r="H9" s="3" t="inlineStr"/>
      <c r="I9" s="10" t="n">
        <v>0.63</v>
      </c>
      <c r="J9" s="11" t="inlineStr">
        <is>
          <t>Meets every point in the top-level description.</t>
        </is>
      </c>
      <c r="K9" s="3" t="inlineStr">
        <is>
          <t>cell 9</t>
        </is>
      </c>
      <c r="L9" s="11" t="inlineStr"/>
    </row>
    <row r="10">
      <c r="A10" s="3" t="inlineStr">
        <is>
          <t>1004</t>
        </is>
      </c>
      <c r="B10" s="3" t="inlineStr">
        <is>
          <t>Diego Santos</t>
        </is>
      </c>
      <c r="C10" s="3" t="inlineStr">
        <is>
          <t>Exploratory Analysis</t>
        </is>
      </c>
      <c r="D10" s="3" t="inlineStr">
        <is>
          <t>notebook</t>
        </is>
      </c>
      <c r="E10" s="3" t="inlineStr">
        <is>
          <t>Excellent</t>
        </is>
      </c>
      <c r="F10" s="3" t="n">
        <v>15</v>
      </c>
      <c r="G10" s="3" t="n">
        <v>15</v>
      </c>
      <c r="H10" s="3" t="inlineStr"/>
      <c r="I10" s="10" t="n">
        <v>0.97</v>
      </c>
      <c r="J10" s="11" t="inlineStr">
        <is>
          <t>Meets every point in the top-level description.</t>
        </is>
      </c>
      <c r="K10" s="3" t="inlineStr">
        <is>
          <t>cell 6</t>
        </is>
      </c>
      <c r="L10" s="11" t="inlineStr"/>
    </row>
    <row r="11">
      <c r="A11" s="3" t="inlineStr">
        <is>
          <t>1004</t>
        </is>
      </c>
      <c r="B11" s="3" t="inlineStr">
        <is>
          <t>Diego Santos</t>
        </is>
      </c>
      <c r="C11" s="3" t="inlineStr">
        <is>
          <t>Model &amp; Evaluation</t>
        </is>
      </c>
      <c r="D11" s="3" t="inlineStr">
        <is>
          <t>notebook</t>
        </is>
      </c>
      <c r="E11" s="3" t="inlineStr">
        <is>
          <t>Excellent</t>
        </is>
      </c>
      <c r="F11" s="3" t="n">
        <v>20</v>
      </c>
      <c r="G11" s="3" t="n">
        <v>20</v>
      </c>
      <c r="H11" s="3" t="inlineStr"/>
      <c r="I11" s="10" t="n">
        <v>0.82</v>
      </c>
      <c r="J11" s="11" t="inlineStr">
        <is>
          <t>Meets every point in the top-level description.</t>
        </is>
      </c>
      <c r="K11" s="3" t="inlineStr">
        <is>
          <t>cell 13</t>
        </is>
      </c>
      <c r="L11" s="11" t="inlineStr"/>
    </row>
    <row r="12">
      <c r="A12" s="3" t="inlineStr">
        <is>
          <t>1004</t>
        </is>
      </c>
      <c r="B12" s="3" t="inlineStr">
        <is>
          <t>Diego Santos</t>
        </is>
      </c>
      <c r="C12" s="3" t="inlineStr">
        <is>
          <t>Code Runs &amp; Readability</t>
        </is>
      </c>
      <c r="D12" s="3" t="inlineStr">
        <is>
          <t>notebook</t>
        </is>
      </c>
      <c r="E12" s="3" t="inlineStr">
        <is>
          <t>Excellent</t>
        </is>
      </c>
      <c r="F12" s="3" t="n">
        <v>10</v>
      </c>
      <c r="G12" s="3" t="n">
        <v>10</v>
      </c>
      <c r="H12" s="3" t="inlineStr"/>
      <c r="I12" s="10" t="n">
        <v>0.88</v>
      </c>
      <c r="J12" s="11" t="inlineStr">
        <is>
          <t>Meets every point in the top-level description.</t>
        </is>
      </c>
      <c r="K12" s="3" t="inlineStr">
        <is>
          <t>cell 23</t>
        </is>
      </c>
      <c r="L12" s="11" t="inlineStr"/>
    </row>
    <row r="13">
      <c r="A13" s="3" t="inlineStr">
        <is>
          <t>1004</t>
        </is>
      </c>
      <c r="B13" s="3" t="inlineStr">
        <is>
          <t>Diego Santos</t>
        </is>
      </c>
      <c r="C13" s="3" t="inlineStr">
        <is>
          <t>Explains Reasoning</t>
        </is>
      </c>
      <c r="D13" s="3" t="inlineStr">
        <is>
          <t>video</t>
        </is>
      </c>
      <c r="E13" s="3" t="inlineStr">
        <is>
          <t>Proficient</t>
        </is>
      </c>
      <c r="F13" s="3" t="n">
        <v>15</v>
      </c>
      <c r="G13" s="3" t="n">
        <v>15</v>
      </c>
      <c r="H13" s="3" t="inlineStr"/>
      <c r="I13" s="10" t="n">
        <v>0.93</v>
      </c>
      <c r="J13" s="11" t="inlineStr">
        <is>
          <t>Solid work; a few points from the top level are missing or thin.</t>
        </is>
      </c>
      <c r="K13" s="3" t="inlineStr">
        <is>
          <t>video 08:54</t>
        </is>
      </c>
      <c r="L13" s="11" t="inlineStr"/>
    </row>
    <row r="14">
      <c r="A14" s="3" t="inlineStr">
        <is>
          <t>1004</t>
        </is>
      </c>
      <c r="B14" s="3" t="inlineStr">
        <is>
          <t>Diego Santos</t>
        </is>
      </c>
      <c r="C14" s="3" t="inlineStr">
        <is>
          <t>Walkthrough Clarity</t>
        </is>
      </c>
      <c r="D14" s="3" t="inlineStr">
        <is>
          <t>video</t>
        </is>
      </c>
      <c r="E14" s="3" t="inlineStr">
        <is>
          <t>Proficient</t>
        </is>
      </c>
      <c r="F14" s="3" t="n">
        <v>7</v>
      </c>
      <c r="G14" s="3" t="n">
        <v>7</v>
      </c>
      <c r="H14" s="3" t="inlineStr"/>
      <c r="I14" s="10" t="n">
        <v>0.9</v>
      </c>
      <c r="J14" s="11" t="inlineStr">
        <is>
          <t>Solid work; a few points from the top level are missing or thin.</t>
        </is>
      </c>
      <c r="K14" s="3" t="inlineStr">
        <is>
          <t>video 05:55</t>
        </is>
      </c>
      <c r="L14" s="11" t="inlineStr"/>
    </row>
    <row r="15">
      <c r="A15" s="3" t="inlineStr">
        <is>
          <t>1004</t>
        </is>
      </c>
      <c r="B15" s="3" t="inlineStr">
        <is>
          <t>Diego Santos</t>
        </is>
      </c>
      <c r="C15" s="3" t="inlineStr">
        <is>
          <t>Video Matches Notebook</t>
        </is>
      </c>
      <c r="D15" s="3" t="inlineStr">
        <is>
          <t>both</t>
        </is>
      </c>
      <c r="E15" s="3" t="inlineStr">
        <is>
          <t>Consistent</t>
        </is>
      </c>
      <c r="F15" s="3" t="n">
        <v>10</v>
      </c>
      <c r="G15" s="3" t="n">
        <v>10</v>
      </c>
      <c r="H15" s="3" t="inlineStr"/>
      <c r="I15" s="10" t="n">
        <v>0.9</v>
      </c>
      <c r="J15" s="11" t="inlineStr">
        <is>
          <t>Meets every point in the top-level description.</t>
        </is>
      </c>
      <c r="K15" s="3" t="inlineStr">
        <is>
          <t>cell 4, video 00:00</t>
        </is>
      </c>
      <c r="L15" s="11" t="inlineStr"/>
    </row>
    <row r="16">
      <c r="A16" s="3" t="inlineStr">
        <is>
          <t>1005</t>
        </is>
      </c>
      <c r="B16" s="3" t="inlineStr">
        <is>
          <t>Hannah Cole</t>
        </is>
      </c>
      <c r="C16" s="3" t="inlineStr">
        <is>
          <t>Data Cleaning</t>
        </is>
      </c>
      <c r="D16" s="3" t="inlineStr">
        <is>
          <t>notebook</t>
        </is>
      </c>
      <c r="E16" s="3" t="inlineStr">
        <is>
          <t>Proficient</t>
        </is>
      </c>
      <c r="F16" s="3" t="n">
        <v>11</v>
      </c>
      <c r="G16" s="3" t="n">
        <v>11</v>
      </c>
      <c r="H16" s="3" t="inlineStr"/>
      <c r="I16" s="10" t="n">
        <v>0.6</v>
      </c>
      <c r="J16" s="11" t="inlineStr">
        <is>
          <t>Solid work; a few points from the top level are missing or thin.</t>
        </is>
      </c>
      <c r="K16" s="3" t="inlineStr">
        <is>
          <t>cell 17</t>
        </is>
      </c>
      <c r="L16" s="11" t="inlineStr"/>
    </row>
    <row r="17">
      <c r="A17" s="3" t="inlineStr">
        <is>
          <t>1005</t>
        </is>
      </c>
      <c r="B17" s="3" t="inlineStr">
        <is>
          <t>Hannah Cole</t>
        </is>
      </c>
      <c r="C17" s="3" t="inlineStr">
        <is>
          <t>Exploratory Analysis</t>
        </is>
      </c>
      <c r="D17" s="3" t="inlineStr">
        <is>
          <t>notebook</t>
        </is>
      </c>
      <c r="E17" s="3" t="inlineStr">
        <is>
          <t>Developing</t>
        </is>
      </c>
      <c r="F17" s="3" t="n">
        <v>6</v>
      </c>
      <c r="G17" s="3" t="n">
        <v>6</v>
      </c>
      <c r="H17" s="3" t="inlineStr"/>
      <c r="I17" s="10" t="n">
        <v>0.95</v>
      </c>
      <c r="J17" s="11" t="inlineStr">
        <is>
          <t>Partly there; key steps are missing or not justified.</t>
        </is>
      </c>
      <c r="K17" s="3" t="inlineStr">
        <is>
          <t>cell 14</t>
        </is>
      </c>
      <c r="L17" s="11" t="inlineStr"/>
    </row>
    <row r="18">
      <c r="A18" s="3" t="inlineStr">
        <is>
          <t>1005</t>
        </is>
      </c>
      <c r="B18" s="3" t="inlineStr">
        <is>
          <t>Hannah Cole</t>
        </is>
      </c>
      <c r="C18" s="3" t="inlineStr">
        <is>
          <t>Model &amp; Evaluation</t>
        </is>
      </c>
      <c r="D18" s="3" t="inlineStr">
        <is>
          <t>notebook</t>
        </is>
      </c>
      <c r="E18" s="3" t="inlineStr">
        <is>
          <t>Proficient</t>
        </is>
      </c>
      <c r="F18" s="3" t="n">
        <v>15</v>
      </c>
      <c r="G18" s="3" t="n">
        <v>15</v>
      </c>
      <c r="H18" s="3" t="inlineStr"/>
      <c r="I18" s="10" t="n">
        <v>0.89</v>
      </c>
      <c r="J18" s="11" t="inlineStr">
        <is>
          <t>Solid work; a few points from the top level are missing or thin.</t>
        </is>
      </c>
      <c r="K18" s="3" t="inlineStr">
        <is>
          <t>cell 21</t>
        </is>
      </c>
      <c r="L18" s="11" t="inlineStr"/>
    </row>
    <row r="19">
      <c r="A19" s="3" t="inlineStr">
        <is>
          <t>1005</t>
        </is>
      </c>
      <c r="B19" s="3" t="inlineStr">
        <is>
          <t>Hannah Cole</t>
        </is>
      </c>
      <c r="C19" s="3" t="inlineStr">
        <is>
          <t>Code Runs &amp; Readability</t>
        </is>
      </c>
      <c r="D19" s="3" t="inlineStr">
        <is>
          <t>notebook</t>
        </is>
      </c>
      <c r="E19" s="3" t="inlineStr">
        <is>
          <t>Excellent</t>
        </is>
      </c>
      <c r="F19" s="3" t="n">
        <v>10</v>
      </c>
      <c r="G19" s="7" t="n">
        <v>3</v>
      </c>
      <c r="H19" s="3" t="inlineStr">
        <is>
          <t>Yes</t>
        </is>
      </c>
      <c r="I19" s="10" t="n">
        <v>0.82</v>
      </c>
      <c r="J19" s="11" t="inlineStr">
        <is>
          <t>Meets every point in the top-level description.</t>
        </is>
      </c>
      <c r="K19" s="3" t="inlineStr">
        <is>
          <t>cell 30</t>
        </is>
      </c>
      <c r="L19" s="11" t="inlineStr">
        <is>
          <t>Notebook was saved without outputs, so it was never run top to bottom.</t>
        </is>
      </c>
    </row>
    <row r="20">
      <c r="A20" s="3" t="inlineStr">
        <is>
          <t>1005</t>
        </is>
      </c>
      <c r="B20" s="3" t="inlineStr">
        <is>
          <t>Hannah Cole</t>
        </is>
      </c>
      <c r="C20" s="3" t="inlineStr">
        <is>
          <t>Explains Reasoning</t>
        </is>
      </c>
      <c r="D20" s="3" t="inlineStr">
        <is>
          <t>video</t>
        </is>
      </c>
      <c r="E20" s="3" t="inlineStr">
        <is>
          <t>Proficient</t>
        </is>
      </c>
      <c r="F20" s="3" t="n">
        <v>15</v>
      </c>
      <c r="G20" s="3" t="n">
        <v>15</v>
      </c>
      <c r="H20" s="3" t="inlineStr"/>
      <c r="I20" s="10" t="n">
        <v>0.79</v>
      </c>
      <c r="J20" s="11" t="inlineStr">
        <is>
          <t>Solid work; a few points from the top level are missing or thin.</t>
        </is>
      </c>
      <c r="K20" s="3" t="inlineStr">
        <is>
          <t>video 02:30</t>
        </is>
      </c>
      <c r="L20" s="11" t="inlineStr"/>
    </row>
    <row r="21">
      <c r="A21" s="3" t="inlineStr">
        <is>
          <t>1005</t>
        </is>
      </c>
      <c r="B21" s="3" t="inlineStr">
        <is>
          <t>Hannah Cole</t>
        </is>
      </c>
      <c r="C21" s="3" t="inlineStr">
        <is>
          <t>Walkthrough Clarity</t>
        </is>
      </c>
      <c r="D21" s="3" t="inlineStr">
        <is>
          <t>video</t>
        </is>
      </c>
      <c r="E21" s="3" t="inlineStr">
        <is>
          <t>Proficient</t>
        </is>
      </c>
      <c r="F21" s="3" t="n">
        <v>7</v>
      </c>
      <c r="G21" s="3" t="n">
        <v>7</v>
      </c>
      <c r="H21" s="3" t="inlineStr"/>
      <c r="I21" s="10" t="n">
        <v>0.9399999999999999</v>
      </c>
      <c r="J21" s="11" t="inlineStr">
        <is>
          <t>Solid work; a few points from the top level are missing or thin.</t>
        </is>
      </c>
      <c r="K21" s="3" t="inlineStr">
        <is>
          <t>video 01:52</t>
        </is>
      </c>
      <c r="L21" s="11" t="inlineStr"/>
    </row>
    <row r="22">
      <c r="A22" s="3" t="inlineStr">
        <is>
          <t>1005</t>
        </is>
      </c>
      <c r="B22" s="3" t="inlineStr">
        <is>
          <t>Hannah Cole</t>
        </is>
      </c>
      <c r="C22" s="3" t="inlineStr">
        <is>
          <t>Video Matches Notebook</t>
        </is>
      </c>
      <c r="D22" s="3" t="inlineStr">
        <is>
          <t>both</t>
        </is>
      </c>
      <c r="E22" s="3" t="inlineStr">
        <is>
          <t>Partial</t>
        </is>
      </c>
      <c r="F22" s="3" t="n">
        <v>5</v>
      </c>
      <c r="G22" s="3" t="n">
        <v>5</v>
      </c>
      <c r="H22" s="3" t="inlineStr"/>
      <c r="I22" s="10" t="n">
        <v>0.6</v>
      </c>
      <c r="J22" s="11" t="inlineStr">
        <is>
          <t>Solid work; a few points from the top level are missing or thin.</t>
        </is>
      </c>
      <c r="K22" s="3" t="inlineStr">
        <is>
          <t>cell 12, video 02:09</t>
        </is>
      </c>
      <c r="L22" s="11" t="inlineStr"/>
    </row>
    <row r="23">
      <c r="A23" s="3" t="inlineStr">
        <is>
          <t>1006</t>
        </is>
      </c>
      <c r="B23" s="3" t="inlineStr">
        <is>
          <t>Jamal Price</t>
        </is>
      </c>
      <c r="C23" s="3" t="inlineStr">
        <is>
          <t>Data Cleaning</t>
        </is>
      </c>
      <c r="D23" s="3" t="inlineStr">
        <is>
          <t>notebook</t>
        </is>
      </c>
      <c r="E23" s="3" t="inlineStr">
        <is>
          <t>Proficient</t>
        </is>
      </c>
      <c r="F23" s="3" t="n">
        <v>11</v>
      </c>
      <c r="G23" s="3" t="n">
        <v>11</v>
      </c>
      <c r="H23" s="3" t="inlineStr"/>
      <c r="I23" s="10" t="n">
        <v>0.91</v>
      </c>
      <c r="J23" s="11" t="inlineStr">
        <is>
          <t>Solid work; a few points from the top level are missing or thin.</t>
        </is>
      </c>
      <c r="K23" s="3" t="inlineStr">
        <is>
          <t>cell 17</t>
        </is>
      </c>
      <c r="L23" s="11" t="inlineStr"/>
    </row>
    <row r="24">
      <c r="A24" s="3" t="inlineStr">
        <is>
          <t>1006</t>
        </is>
      </c>
      <c r="B24" s="3" t="inlineStr">
        <is>
          <t>Jamal Price</t>
        </is>
      </c>
      <c r="C24" s="3" t="inlineStr">
        <is>
          <t>Exploratory Analysis</t>
        </is>
      </c>
      <c r="D24" s="3" t="inlineStr">
        <is>
          <t>notebook</t>
        </is>
      </c>
      <c r="E24" s="3" t="inlineStr">
        <is>
          <t>Excellent</t>
        </is>
      </c>
      <c r="F24" s="3" t="n">
        <v>15</v>
      </c>
      <c r="G24" s="3" t="n">
        <v>15</v>
      </c>
      <c r="H24" s="3" t="inlineStr"/>
      <c r="I24" s="10" t="n">
        <v>0.65</v>
      </c>
      <c r="J24" s="11" t="inlineStr">
        <is>
          <t>Meets every point in the top-level description.</t>
        </is>
      </c>
      <c r="K24" s="3" t="inlineStr">
        <is>
          <t>cell 28</t>
        </is>
      </c>
      <c r="L24" s="11" t="inlineStr"/>
    </row>
    <row r="25">
      <c r="A25" s="3" t="inlineStr">
        <is>
          <t>1006</t>
        </is>
      </c>
      <c r="B25" s="3" t="inlineStr">
        <is>
          <t>Jamal Price</t>
        </is>
      </c>
      <c r="C25" s="3" t="inlineStr">
        <is>
          <t>Model &amp; Evaluation</t>
        </is>
      </c>
      <c r="D25" s="3" t="inlineStr">
        <is>
          <t>notebook</t>
        </is>
      </c>
      <c r="E25" s="3" t="inlineStr">
        <is>
          <t>Proficient</t>
        </is>
      </c>
      <c r="F25" s="3" t="n">
        <v>15</v>
      </c>
      <c r="G25" s="3" t="n">
        <v>15</v>
      </c>
      <c r="H25" s="3" t="inlineStr"/>
      <c r="I25" s="10" t="n">
        <v>0.74</v>
      </c>
      <c r="J25" s="11" t="inlineStr">
        <is>
          <t>Solid work; a few points from the top level are missing or thin.</t>
        </is>
      </c>
      <c r="K25" s="3" t="inlineStr">
        <is>
          <t>cell 23</t>
        </is>
      </c>
      <c r="L25" s="11" t="inlineStr"/>
    </row>
    <row r="26">
      <c r="A26" s="3" t="inlineStr">
        <is>
          <t>1006</t>
        </is>
      </c>
      <c r="B26" s="3" t="inlineStr">
        <is>
          <t>Jamal Price</t>
        </is>
      </c>
      <c r="C26" s="3" t="inlineStr">
        <is>
          <t>Code Runs &amp; Readability</t>
        </is>
      </c>
      <c r="D26" s="3" t="inlineStr">
        <is>
          <t>notebook</t>
        </is>
      </c>
      <c r="E26" s="3" t="inlineStr">
        <is>
          <t>Proficient</t>
        </is>
      </c>
      <c r="F26" s="3" t="n">
        <v>7</v>
      </c>
      <c r="G26" s="3" t="n">
        <v>7</v>
      </c>
      <c r="H26" s="3" t="inlineStr"/>
      <c r="I26" s="10" t="n">
        <v>0.91</v>
      </c>
      <c r="J26" s="11" t="inlineStr">
        <is>
          <t>Solid work; a few points from the top level are missing or thin.</t>
        </is>
      </c>
      <c r="K26" s="3" t="inlineStr">
        <is>
          <t>cell 20</t>
        </is>
      </c>
      <c r="L26" s="11" t="inlineStr"/>
    </row>
    <row r="27">
      <c r="A27" s="3" t="inlineStr">
        <is>
          <t>1006</t>
        </is>
      </c>
      <c r="B27" s="3" t="inlineStr">
        <is>
          <t>Jamal Price</t>
        </is>
      </c>
      <c r="C27" s="3" t="inlineStr">
        <is>
          <t>Explains Reasoning</t>
        </is>
      </c>
      <c r="D27" s="3" t="inlineStr">
        <is>
          <t>video</t>
        </is>
      </c>
      <c r="E27" s="3" t="inlineStr">
        <is>
          <t>Proficient</t>
        </is>
      </c>
      <c r="F27" s="3" t="n">
        <v>15</v>
      </c>
      <c r="G27" s="3" t="n">
        <v>15</v>
      </c>
      <c r="H27" s="3" t="inlineStr"/>
      <c r="I27" s="10" t="n">
        <v>0.82</v>
      </c>
      <c r="J27" s="11" t="inlineStr">
        <is>
          <t>Solid work; a few points from the top level are missing or thin.</t>
        </is>
      </c>
      <c r="K27" s="3" t="inlineStr">
        <is>
          <t>video 06:18</t>
        </is>
      </c>
      <c r="L27" s="11" t="inlineStr"/>
    </row>
    <row r="28">
      <c r="A28" s="3" t="inlineStr">
        <is>
          <t>1006</t>
        </is>
      </c>
      <c r="B28" s="3" t="inlineStr">
        <is>
          <t>Jamal Price</t>
        </is>
      </c>
      <c r="C28" s="3" t="inlineStr">
        <is>
          <t>Walkthrough Clarity</t>
        </is>
      </c>
      <c r="D28" s="3" t="inlineStr">
        <is>
          <t>video</t>
        </is>
      </c>
      <c r="E28" s="3" t="inlineStr">
        <is>
          <t>Proficient</t>
        </is>
      </c>
      <c r="F28" s="3" t="n">
        <v>7</v>
      </c>
      <c r="G28" s="3" t="n">
        <v>7</v>
      </c>
      <c r="H28" s="3" t="inlineStr"/>
      <c r="I28" s="10" t="n">
        <v>0.9</v>
      </c>
      <c r="J28" s="11" t="inlineStr">
        <is>
          <t>Solid work; a few points from the top level are missing or thin.</t>
        </is>
      </c>
      <c r="K28" s="3" t="inlineStr">
        <is>
          <t>video 01:48</t>
        </is>
      </c>
      <c r="L28" s="11" t="inlineStr"/>
    </row>
    <row r="29">
      <c r="A29" s="3" t="inlineStr">
        <is>
          <t>1006</t>
        </is>
      </c>
      <c r="B29" s="3" t="inlineStr">
        <is>
          <t>Jamal Price</t>
        </is>
      </c>
      <c r="C29" s="3" t="inlineStr">
        <is>
          <t>Video Matches Notebook</t>
        </is>
      </c>
      <c r="D29" s="3" t="inlineStr">
        <is>
          <t>both</t>
        </is>
      </c>
      <c r="E29" s="3" t="inlineStr">
        <is>
          <t>Partial</t>
        </is>
      </c>
      <c r="F29" s="3" t="n">
        <v>5</v>
      </c>
      <c r="G29" s="3" t="n">
        <v>5</v>
      </c>
      <c r="H29" s="3" t="inlineStr"/>
      <c r="I29" s="10" t="n">
        <v>0.63</v>
      </c>
      <c r="J29" s="11" t="inlineStr">
        <is>
          <t>Solid work; a few points from the top level are missing or thin.</t>
        </is>
      </c>
      <c r="K29" s="3" t="inlineStr">
        <is>
          <t>cell 27, video 02:18</t>
        </is>
      </c>
      <c r="L29" s="11" t="inlineStr"/>
    </row>
    <row r="30">
      <c r="A30" s="3" t="inlineStr">
        <is>
          <t>1008</t>
        </is>
      </c>
      <c r="B30" s="3" t="inlineStr">
        <is>
          <t>Kevin Tran</t>
        </is>
      </c>
      <c r="C30" s="3" t="inlineStr">
        <is>
          <t>Data Cleaning</t>
        </is>
      </c>
      <c r="D30" s="3" t="inlineStr">
        <is>
          <t>notebook</t>
        </is>
      </c>
      <c r="E30" s="3" t="inlineStr">
        <is>
          <t>Excellent</t>
        </is>
      </c>
      <c r="F30" s="3" t="n">
        <v>15</v>
      </c>
      <c r="G30" s="3" t="n">
        <v>15</v>
      </c>
      <c r="H30" s="3" t="inlineStr"/>
      <c r="I30" s="10" t="n">
        <v>0.68</v>
      </c>
      <c r="J30" s="11" t="inlineStr">
        <is>
          <t>Meets every point in the top-level description.</t>
        </is>
      </c>
      <c r="K30" s="3" t="inlineStr">
        <is>
          <t>cell 3</t>
        </is>
      </c>
      <c r="L30" s="11" t="inlineStr"/>
    </row>
    <row r="31">
      <c r="A31" s="3" t="inlineStr">
        <is>
          <t>1008</t>
        </is>
      </c>
      <c r="B31" s="3" t="inlineStr">
        <is>
          <t>Kevin Tran</t>
        </is>
      </c>
      <c r="C31" s="3" t="inlineStr">
        <is>
          <t>Exploratory Analysis</t>
        </is>
      </c>
      <c r="D31" s="3" t="inlineStr">
        <is>
          <t>notebook</t>
        </is>
      </c>
      <c r="E31" s="3" t="inlineStr">
        <is>
          <t>Excellent</t>
        </is>
      </c>
      <c r="F31" s="3" t="n">
        <v>15</v>
      </c>
      <c r="G31" s="3" t="n">
        <v>15</v>
      </c>
      <c r="H31" s="3" t="inlineStr"/>
      <c r="I31" s="10" t="n">
        <v>0.63</v>
      </c>
      <c r="J31" s="11" t="inlineStr">
        <is>
          <t>Meets every point in the top-level description.</t>
        </is>
      </c>
      <c r="K31" s="3" t="inlineStr">
        <is>
          <t>cell 15</t>
        </is>
      </c>
      <c r="L31" s="11" t="inlineStr"/>
    </row>
    <row r="32">
      <c r="A32" s="3" t="inlineStr">
        <is>
          <t>1008</t>
        </is>
      </c>
      <c r="B32" s="3" t="inlineStr">
        <is>
          <t>Kevin Tran</t>
        </is>
      </c>
      <c r="C32" s="3" t="inlineStr">
        <is>
          <t>Model &amp; Evaluation</t>
        </is>
      </c>
      <c r="D32" s="3" t="inlineStr">
        <is>
          <t>notebook</t>
        </is>
      </c>
      <c r="E32" s="3" t="inlineStr">
        <is>
          <t>Proficient</t>
        </is>
      </c>
      <c r="F32" s="3" t="n">
        <v>15</v>
      </c>
      <c r="G32" s="3" t="n">
        <v>15</v>
      </c>
      <c r="H32" s="3" t="inlineStr"/>
      <c r="I32" s="10" t="n">
        <v>0.58</v>
      </c>
      <c r="J32" s="11" t="inlineStr">
        <is>
          <t>Solid work; a few points from the top level are missing or thin.</t>
        </is>
      </c>
      <c r="K32" s="3" t="inlineStr">
        <is>
          <t>cell 20</t>
        </is>
      </c>
      <c r="L32" s="11" t="inlineStr"/>
    </row>
    <row r="33">
      <c r="A33" s="3" t="inlineStr">
        <is>
          <t>1008</t>
        </is>
      </c>
      <c r="B33" s="3" t="inlineStr">
        <is>
          <t>Kevin Tran</t>
        </is>
      </c>
      <c r="C33" s="3" t="inlineStr">
        <is>
          <t>Code Runs &amp; Readability</t>
        </is>
      </c>
      <c r="D33" s="3" t="inlineStr">
        <is>
          <t>notebook</t>
        </is>
      </c>
      <c r="E33" s="3" t="inlineStr">
        <is>
          <t>Excellent</t>
        </is>
      </c>
      <c r="F33" s="3" t="n">
        <v>10</v>
      </c>
      <c r="G33" s="3" t="n">
        <v>10</v>
      </c>
      <c r="H33" s="3" t="inlineStr"/>
      <c r="I33" s="10" t="n">
        <v>0.58</v>
      </c>
      <c r="J33" s="11" t="inlineStr">
        <is>
          <t>Meets every point in the top-level description.</t>
        </is>
      </c>
      <c r="K33" s="3" t="inlineStr">
        <is>
          <t>cell 15</t>
        </is>
      </c>
      <c r="L33" s="11" t="inlineStr"/>
    </row>
    <row r="34">
      <c r="A34" s="3" t="inlineStr">
        <is>
          <t>1008</t>
        </is>
      </c>
      <c r="B34" s="3" t="inlineStr">
        <is>
          <t>Kevin Tran</t>
        </is>
      </c>
      <c r="C34" s="3" t="inlineStr">
        <is>
          <t>Explains Reasoning</t>
        </is>
      </c>
      <c r="D34" s="3" t="inlineStr">
        <is>
          <t>video</t>
        </is>
      </c>
      <c r="E34" s="3" t="inlineStr">
        <is>
          <t>Missing</t>
        </is>
      </c>
      <c r="F34" s="3" t="n">
        <v>0</v>
      </c>
      <c r="G34" s="3" t="n">
        <v>0</v>
      </c>
      <c r="H34" s="3" t="inlineStr"/>
      <c r="I34" s="10" t="n">
        <v>0.99</v>
      </c>
      <c r="J34" s="11" t="inlineStr">
        <is>
          <t>No video was available to grade.</t>
        </is>
      </c>
      <c r="K34" s="3" t="inlineStr"/>
      <c r="L34" s="11" t="inlineStr"/>
    </row>
    <row r="35">
      <c r="A35" s="3" t="inlineStr">
        <is>
          <t>1008</t>
        </is>
      </c>
      <c r="B35" s="3" t="inlineStr">
        <is>
          <t>Kevin Tran</t>
        </is>
      </c>
      <c r="C35" s="3" t="inlineStr">
        <is>
          <t>Walkthrough Clarity</t>
        </is>
      </c>
      <c r="D35" s="3" t="inlineStr">
        <is>
          <t>video</t>
        </is>
      </c>
      <c r="E35" s="3" t="inlineStr">
        <is>
          <t>Missing</t>
        </is>
      </c>
      <c r="F35" s="3" t="n">
        <v>0</v>
      </c>
      <c r="G35" s="3" t="n">
        <v>0</v>
      </c>
      <c r="H35" s="3" t="inlineStr"/>
      <c r="I35" s="10" t="n">
        <v>0.99</v>
      </c>
      <c r="J35" s="11" t="inlineStr">
        <is>
          <t>No video was available to grade.</t>
        </is>
      </c>
      <c r="K35" s="3" t="inlineStr"/>
      <c r="L35" s="11" t="inlineStr"/>
    </row>
    <row r="36">
      <c r="A36" s="3" t="inlineStr">
        <is>
          <t>1008</t>
        </is>
      </c>
      <c r="B36" s="3" t="inlineStr">
        <is>
          <t>Kevin Tran</t>
        </is>
      </c>
      <c r="C36" s="3" t="inlineStr">
        <is>
          <t>Video Matches Notebook</t>
        </is>
      </c>
      <c r="D36" s="3" t="inlineStr">
        <is>
          <t>both</t>
        </is>
      </c>
      <c r="E36" s="3" t="inlineStr">
        <is>
          <t>Mismatch</t>
        </is>
      </c>
      <c r="F36" s="3" t="n">
        <v>0</v>
      </c>
      <c r="G36" s="3" t="n">
        <v>0</v>
      </c>
      <c r="H36" s="3" t="inlineStr"/>
      <c r="I36" s="10" t="n">
        <v>0.99</v>
      </c>
      <c r="J36" s="11" t="inlineStr">
        <is>
          <t>No video was available to grade.</t>
        </is>
      </c>
      <c r="K36" s="3" t="inlineStr"/>
      <c r="L36" s="11" t="inlineStr"/>
    </row>
    <row r="37">
      <c r="A37" s="3" t="inlineStr">
        <is>
          <t>1009</t>
        </is>
      </c>
      <c r="B37" s="3" t="inlineStr">
        <is>
          <t>Lucia Ferreira</t>
        </is>
      </c>
      <c r="C37" s="3" t="inlineStr">
        <is>
          <t>Data Cleaning</t>
        </is>
      </c>
      <c r="D37" s="3" t="inlineStr">
        <is>
          <t>notebook</t>
        </is>
      </c>
      <c r="E37" s="3" t="inlineStr">
        <is>
          <t>Developing</t>
        </is>
      </c>
      <c r="F37" s="3" t="n">
        <v>6</v>
      </c>
      <c r="G37" s="3" t="n">
        <v>6</v>
      </c>
      <c r="H37" s="3" t="inlineStr"/>
      <c r="I37" s="10" t="n">
        <v>0.95</v>
      </c>
      <c r="J37" s="11" t="inlineStr">
        <is>
          <t>Partly there; key steps are missing or not justified.</t>
        </is>
      </c>
      <c r="K37" s="3" t="inlineStr">
        <is>
          <t>cell 15</t>
        </is>
      </c>
      <c r="L37" s="11" t="inlineStr"/>
    </row>
    <row r="38">
      <c r="A38" s="3" t="inlineStr">
        <is>
          <t>1009</t>
        </is>
      </c>
      <c r="B38" s="3" t="inlineStr">
        <is>
          <t>Lucia Ferreira</t>
        </is>
      </c>
      <c r="C38" s="3" t="inlineStr">
        <is>
          <t>Exploratory Analysis</t>
        </is>
      </c>
      <c r="D38" s="3" t="inlineStr">
        <is>
          <t>notebook</t>
        </is>
      </c>
      <c r="E38" s="3" t="inlineStr">
        <is>
          <t>Proficient</t>
        </is>
      </c>
      <c r="F38" s="3" t="n">
        <v>11</v>
      </c>
      <c r="G38" s="3" t="n">
        <v>11</v>
      </c>
      <c r="H38" s="3" t="inlineStr"/>
      <c r="I38" s="10" t="n">
        <v>0.68</v>
      </c>
      <c r="J38" s="11" t="inlineStr">
        <is>
          <t>Solid work; a few points from the top level are missing or thin.</t>
        </is>
      </c>
      <c r="K38" s="3" t="inlineStr">
        <is>
          <t>cell 29</t>
        </is>
      </c>
      <c r="L38" s="11" t="inlineStr"/>
    </row>
    <row r="39">
      <c r="A39" s="3" t="inlineStr">
        <is>
          <t>1009</t>
        </is>
      </c>
      <c r="B39" s="3" t="inlineStr">
        <is>
          <t>Lucia Ferreira</t>
        </is>
      </c>
      <c r="C39" s="3" t="inlineStr">
        <is>
          <t>Model &amp; Evaluation</t>
        </is>
      </c>
      <c r="D39" s="3" t="inlineStr">
        <is>
          <t>notebook</t>
        </is>
      </c>
      <c r="E39" s="3" t="inlineStr">
        <is>
          <t>Proficient</t>
        </is>
      </c>
      <c r="F39" s="3" t="n">
        <v>15</v>
      </c>
      <c r="G39" s="3" t="n">
        <v>15</v>
      </c>
      <c r="H39" s="3" t="inlineStr"/>
      <c r="I39" s="10" t="n">
        <v>0.77</v>
      </c>
      <c r="J39" s="11" t="inlineStr">
        <is>
          <t>Solid work; a few points from the top level are missing or thin.</t>
        </is>
      </c>
      <c r="K39" s="3" t="inlineStr">
        <is>
          <t>cell 26</t>
        </is>
      </c>
      <c r="L39" s="11" t="inlineStr"/>
    </row>
    <row r="40">
      <c r="A40" s="3" t="inlineStr">
        <is>
          <t>1009</t>
        </is>
      </c>
      <c r="B40" s="3" t="inlineStr">
        <is>
          <t>Lucia Ferreira</t>
        </is>
      </c>
      <c r="C40" s="3" t="inlineStr">
        <is>
          <t>Code Runs &amp; Readability</t>
        </is>
      </c>
      <c r="D40" s="3" t="inlineStr">
        <is>
          <t>notebook</t>
        </is>
      </c>
      <c r="E40" s="3" t="inlineStr">
        <is>
          <t>Excellent</t>
        </is>
      </c>
      <c r="F40" s="3" t="n">
        <v>10</v>
      </c>
      <c r="G40" s="3" t="n">
        <v>10</v>
      </c>
      <c r="H40" s="3" t="inlineStr"/>
      <c r="I40" s="10" t="n">
        <v>0.74</v>
      </c>
      <c r="J40" s="11" t="inlineStr">
        <is>
          <t>Meets every point in the top-level description.</t>
        </is>
      </c>
      <c r="K40" s="3" t="inlineStr">
        <is>
          <t>cell 15</t>
        </is>
      </c>
      <c r="L40" s="11" t="inlineStr"/>
    </row>
    <row r="41">
      <c r="A41" s="3" t="inlineStr">
        <is>
          <t>1009</t>
        </is>
      </c>
      <c r="B41" s="3" t="inlineStr">
        <is>
          <t>Lucia Ferreira</t>
        </is>
      </c>
      <c r="C41" s="3" t="inlineStr">
        <is>
          <t>Explains Reasoning</t>
        </is>
      </c>
      <c r="D41" s="3" t="inlineStr">
        <is>
          <t>video</t>
        </is>
      </c>
      <c r="E41" s="3" t="inlineStr">
        <is>
          <t>Proficient</t>
        </is>
      </c>
      <c r="F41" s="3" t="n">
        <v>15</v>
      </c>
      <c r="G41" s="3" t="n">
        <v>15</v>
      </c>
      <c r="H41" s="3" t="inlineStr"/>
      <c r="I41" s="10" t="n">
        <v>0.71</v>
      </c>
      <c r="J41" s="11" t="inlineStr">
        <is>
          <t>Solid work; a few points from the top level are missing or thin.</t>
        </is>
      </c>
      <c r="K41" s="3" t="inlineStr">
        <is>
          <t>video 09:41</t>
        </is>
      </c>
      <c r="L41" s="11" t="inlineStr"/>
    </row>
    <row r="42">
      <c r="A42" s="3" t="inlineStr">
        <is>
          <t>1009</t>
        </is>
      </c>
      <c r="B42" s="3" t="inlineStr">
        <is>
          <t>Lucia Ferreira</t>
        </is>
      </c>
      <c r="C42" s="3" t="inlineStr">
        <is>
          <t>Walkthrough Clarity</t>
        </is>
      </c>
      <c r="D42" s="3" t="inlineStr">
        <is>
          <t>video</t>
        </is>
      </c>
      <c r="E42" s="3" t="inlineStr">
        <is>
          <t>Developing</t>
        </is>
      </c>
      <c r="F42" s="3" t="n">
        <v>3</v>
      </c>
      <c r="G42" s="3" t="n">
        <v>3</v>
      </c>
      <c r="H42" s="3" t="inlineStr"/>
      <c r="I42" s="10" t="n">
        <v>0.71</v>
      </c>
      <c r="J42" s="11" t="inlineStr">
        <is>
          <t>Partly there; key steps are missing or not justified.</t>
        </is>
      </c>
      <c r="K42" s="3" t="inlineStr">
        <is>
          <t>video 02:29</t>
        </is>
      </c>
      <c r="L42" s="11" t="inlineStr"/>
    </row>
    <row r="43">
      <c r="A43" s="3" t="inlineStr">
        <is>
          <t>1009</t>
        </is>
      </c>
      <c r="B43" s="3" t="inlineStr">
        <is>
          <t>Lucia Ferreira</t>
        </is>
      </c>
      <c r="C43" s="3" t="inlineStr">
        <is>
          <t>Video Matches Notebook</t>
        </is>
      </c>
      <c r="D43" s="3" t="inlineStr">
        <is>
          <t>both</t>
        </is>
      </c>
      <c r="E43" s="3" t="inlineStr">
        <is>
          <t>Mismatch</t>
        </is>
      </c>
      <c r="F43" s="3" t="n">
        <v>0</v>
      </c>
      <c r="G43" s="3" t="n">
        <v>0</v>
      </c>
      <c r="H43" s="3" t="inlineStr"/>
      <c r="I43" s="10" t="n">
        <v>0.57</v>
      </c>
      <c r="J43" s="11" t="inlineStr">
        <is>
          <t>Partly there; key steps are missing or not justified.</t>
        </is>
      </c>
      <c r="K43" s="3" t="inlineStr">
        <is>
          <t>cell 14, video 05:58</t>
        </is>
      </c>
      <c r="L43" s="11" t="inlineStr"/>
    </row>
    <row r="44">
      <c r="A44" s="3" t="inlineStr">
        <is>
          <t>1002</t>
        </is>
      </c>
      <c r="B44" s="3" t="inlineStr">
        <is>
          <t>Marcus Bell</t>
        </is>
      </c>
      <c r="C44" s="3" t="inlineStr">
        <is>
          <t>Data Cleaning</t>
        </is>
      </c>
      <c r="D44" s="3" t="inlineStr">
        <is>
          <t>notebook</t>
        </is>
      </c>
      <c r="E44" s="3" t="inlineStr">
        <is>
          <t>Excellent</t>
        </is>
      </c>
      <c r="F44" s="3" t="n">
        <v>15</v>
      </c>
      <c r="G44" s="3" t="n">
        <v>15</v>
      </c>
      <c r="H44" s="3" t="inlineStr"/>
      <c r="I44" s="10" t="n">
        <v>0.59</v>
      </c>
      <c r="J44" s="11" t="inlineStr">
        <is>
          <t>Meets every point in the top-level description.</t>
        </is>
      </c>
      <c r="K44" s="3" t="inlineStr">
        <is>
          <t>cell 18</t>
        </is>
      </c>
      <c r="L44" s="11" t="inlineStr"/>
    </row>
    <row r="45">
      <c r="A45" s="3" t="inlineStr">
        <is>
          <t>1002</t>
        </is>
      </c>
      <c r="B45" s="3" t="inlineStr">
        <is>
          <t>Marcus Bell</t>
        </is>
      </c>
      <c r="C45" s="3" t="inlineStr">
        <is>
          <t>Exploratory Analysis</t>
        </is>
      </c>
      <c r="D45" s="3" t="inlineStr">
        <is>
          <t>notebook</t>
        </is>
      </c>
      <c r="E45" s="3" t="inlineStr">
        <is>
          <t>Excellent</t>
        </is>
      </c>
      <c r="F45" s="3" t="n">
        <v>15</v>
      </c>
      <c r="G45" s="3" t="n">
        <v>15</v>
      </c>
      <c r="H45" s="3" t="inlineStr"/>
      <c r="I45" s="10" t="n">
        <v>0.72</v>
      </c>
      <c r="J45" s="11" t="inlineStr">
        <is>
          <t>Meets every point in the top-level description.</t>
        </is>
      </c>
      <c r="K45" s="3" t="inlineStr">
        <is>
          <t>cell 19</t>
        </is>
      </c>
      <c r="L45" s="11" t="inlineStr"/>
    </row>
    <row r="46">
      <c r="A46" s="3" t="inlineStr">
        <is>
          <t>1002</t>
        </is>
      </c>
      <c r="B46" s="3" t="inlineStr">
        <is>
          <t>Marcus Bell</t>
        </is>
      </c>
      <c r="C46" s="3" t="inlineStr">
        <is>
          <t>Model &amp; Evaluation</t>
        </is>
      </c>
      <c r="D46" s="3" t="inlineStr">
        <is>
          <t>notebook</t>
        </is>
      </c>
      <c r="E46" s="3" t="inlineStr">
        <is>
          <t>Proficient</t>
        </is>
      </c>
      <c r="F46" s="3" t="n">
        <v>15</v>
      </c>
      <c r="G46" s="7" t="n">
        <v>20</v>
      </c>
      <c r="H46" s="3" t="inlineStr">
        <is>
          <t>Yes</t>
        </is>
      </c>
      <c r="I46" s="10" t="n">
        <v>0.63</v>
      </c>
      <c r="J46" s="11" t="inlineStr">
        <is>
          <t>Solid work; a few points from the top level are missing or thin.</t>
        </is>
      </c>
      <c r="K46" s="3" t="inlineStr">
        <is>
          <t>cell 2</t>
        </is>
      </c>
      <c r="L46" s="11" t="inlineStr">
        <is>
          <t>Residual plot in cell 18 covers this; full marks.</t>
        </is>
      </c>
    </row>
    <row r="47">
      <c r="A47" s="3" t="inlineStr">
        <is>
          <t>1002</t>
        </is>
      </c>
      <c r="B47" s="3" t="inlineStr">
        <is>
          <t>Marcus Bell</t>
        </is>
      </c>
      <c r="C47" s="3" t="inlineStr">
        <is>
          <t>Code Runs &amp; Readability</t>
        </is>
      </c>
      <c r="D47" s="3" t="inlineStr">
        <is>
          <t>notebook</t>
        </is>
      </c>
      <c r="E47" s="3" t="inlineStr">
        <is>
          <t>Excellent</t>
        </is>
      </c>
      <c r="F47" s="3" t="n">
        <v>10</v>
      </c>
      <c r="G47" s="3" t="n">
        <v>10</v>
      </c>
      <c r="H47" s="3" t="inlineStr"/>
      <c r="I47" s="10" t="n">
        <v>0.76</v>
      </c>
      <c r="J47" s="11" t="inlineStr">
        <is>
          <t>Meets every point in the top-level description.</t>
        </is>
      </c>
      <c r="K47" s="3" t="inlineStr">
        <is>
          <t>cell 15</t>
        </is>
      </c>
      <c r="L47" s="11" t="inlineStr"/>
    </row>
    <row r="48">
      <c r="A48" s="3" t="inlineStr">
        <is>
          <t>1002</t>
        </is>
      </c>
      <c r="B48" s="3" t="inlineStr">
        <is>
          <t>Marcus Bell</t>
        </is>
      </c>
      <c r="C48" s="3" t="inlineStr">
        <is>
          <t>Explains Reasoning</t>
        </is>
      </c>
      <c r="D48" s="3" t="inlineStr">
        <is>
          <t>video</t>
        </is>
      </c>
      <c r="E48" s="3" t="inlineStr">
        <is>
          <t>Excellent</t>
        </is>
      </c>
      <c r="F48" s="3" t="n">
        <v>20</v>
      </c>
      <c r="G48" s="3" t="n">
        <v>20</v>
      </c>
      <c r="H48" s="3" t="inlineStr"/>
      <c r="I48" s="10" t="n">
        <v>0.65</v>
      </c>
      <c r="J48" s="11" t="inlineStr">
        <is>
          <t>Meets every point in the top-level description.</t>
        </is>
      </c>
      <c r="K48" s="3" t="inlineStr">
        <is>
          <t>video 02:15</t>
        </is>
      </c>
      <c r="L48" s="11" t="inlineStr"/>
    </row>
    <row r="49">
      <c r="A49" s="3" t="inlineStr">
        <is>
          <t>1002</t>
        </is>
      </c>
      <c r="B49" s="3" t="inlineStr">
        <is>
          <t>Marcus Bell</t>
        </is>
      </c>
      <c r="C49" s="3" t="inlineStr">
        <is>
          <t>Walkthrough Clarity</t>
        </is>
      </c>
      <c r="D49" s="3" t="inlineStr">
        <is>
          <t>video</t>
        </is>
      </c>
      <c r="E49" s="3" t="inlineStr">
        <is>
          <t>Proficient</t>
        </is>
      </c>
      <c r="F49" s="3" t="n">
        <v>7</v>
      </c>
      <c r="G49" s="3" t="n">
        <v>7</v>
      </c>
      <c r="H49" s="3" t="inlineStr"/>
      <c r="I49" s="10" t="n">
        <v>0.72</v>
      </c>
      <c r="J49" s="11" t="inlineStr">
        <is>
          <t>Solid work; a few points from the top level are missing or thin.</t>
        </is>
      </c>
      <c r="K49" s="3" t="inlineStr">
        <is>
          <t>video 09:56</t>
        </is>
      </c>
      <c r="L49" s="11" t="inlineStr"/>
    </row>
    <row r="50">
      <c r="A50" s="3" t="inlineStr">
        <is>
          <t>1002</t>
        </is>
      </c>
      <c r="B50" s="3" t="inlineStr">
        <is>
          <t>Marcus Bell</t>
        </is>
      </c>
      <c r="C50" s="3" t="inlineStr">
        <is>
          <t>Video Matches Notebook</t>
        </is>
      </c>
      <c r="D50" s="3" t="inlineStr">
        <is>
          <t>both</t>
        </is>
      </c>
      <c r="E50" s="3" t="inlineStr">
        <is>
          <t>Consistent</t>
        </is>
      </c>
      <c r="F50" s="3" t="n">
        <v>10</v>
      </c>
      <c r="G50" s="3" t="n">
        <v>10</v>
      </c>
      <c r="H50" s="3" t="inlineStr"/>
      <c r="I50" s="10" t="n">
        <v>0.59</v>
      </c>
      <c r="J50" s="11" t="inlineStr">
        <is>
          <t>Meets every point in the top-level description.</t>
        </is>
      </c>
      <c r="K50" s="3" t="inlineStr">
        <is>
          <t>cell 23, video 03:49</t>
        </is>
      </c>
      <c r="L50" s="11" t="inlineStr"/>
    </row>
    <row r="51">
      <c r="A51" s="3" t="inlineStr">
        <is>
          <t>1010</t>
        </is>
      </c>
      <c r="B51" s="3" t="inlineStr">
        <is>
          <t>Owen Park</t>
        </is>
      </c>
      <c r="C51" s="3" t="inlineStr">
        <is>
          <t>Data Cleaning</t>
        </is>
      </c>
      <c r="D51" s="3" t="inlineStr">
        <is>
          <t>notebook</t>
        </is>
      </c>
      <c r="H51" s="3" t="inlineStr"/>
      <c r="J51" s="11" t="inlineStr"/>
      <c r="K51" s="3" t="inlineStr"/>
      <c r="L51" s="11" t="inlineStr"/>
    </row>
    <row r="52">
      <c r="A52" s="3" t="inlineStr">
        <is>
          <t>1010</t>
        </is>
      </c>
      <c r="B52" s="3" t="inlineStr">
        <is>
          <t>Owen Park</t>
        </is>
      </c>
      <c r="C52" s="3" t="inlineStr">
        <is>
          <t>Exploratory Analysis</t>
        </is>
      </c>
      <c r="D52" s="3" t="inlineStr">
        <is>
          <t>notebook</t>
        </is>
      </c>
      <c r="H52" s="3" t="inlineStr"/>
      <c r="J52" s="11" t="inlineStr"/>
      <c r="K52" s="3" t="inlineStr"/>
      <c r="L52" s="11" t="inlineStr"/>
    </row>
    <row r="53">
      <c r="A53" s="3" t="inlineStr">
        <is>
          <t>1010</t>
        </is>
      </c>
      <c r="B53" s="3" t="inlineStr">
        <is>
          <t>Owen Park</t>
        </is>
      </c>
      <c r="C53" s="3" t="inlineStr">
        <is>
          <t>Model &amp; Evaluation</t>
        </is>
      </c>
      <c r="D53" s="3" t="inlineStr">
        <is>
          <t>notebook</t>
        </is>
      </c>
      <c r="H53" s="3" t="inlineStr"/>
      <c r="J53" s="11" t="inlineStr"/>
      <c r="K53" s="3" t="inlineStr"/>
      <c r="L53" s="11" t="inlineStr"/>
    </row>
    <row r="54">
      <c r="A54" s="3" t="inlineStr">
        <is>
          <t>1010</t>
        </is>
      </c>
      <c r="B54" s="3" t="inlineStr">
        <is>
          <t>Owen Park</t>
        </is>
      </c>
      <c r="C54" s="3" t="inlineStr">
        <is>
          <t>Code Runs &amp; Readability</t>
        </is>
      </c>
      <c r="D54" s="3" t="inlineStr">
        <is>
          <t>notebook</t>
        </is>
      </c>
      <c r="H54" s="3" t="inlineStr"/>
      <c r="J54" s="11" t="inlineStr"/>
      <c r="K54" s="3" t="inlineStr"/>
      <c r="L54" s="11" t="inlineStr"/>
    </row>
    <row r="55">
      <c r="A55" s="3" t="inlineStr">
        <is>
          <t>1010</t>
        </is>
      </c>
      <c r="B55" s="3" t="inlineStr">
        <is>
          <t>Owen Park</t>
        </is>
      </c>
      <c r="C55" s="3" t="inlineStr">
        <is>
          <t>Explains Reasoning</t>
        </is>
      </c>
      <c r="D55" s="3" t="inlineStr">
        <is>
          <t>video</t>
        </is>
      </c>
      <c r="H55" s="3" t="inlineStr"/>
      <c r="J55" s="11" t="inlineStr"/>
      <c r="K55" s="3" t="inlineStr"/>
      <c r="L55" s="11" t="inlineStr"/>
    </row>
    <row r="56">
      <c r="A56" s="3" t="inlineStr">
        <is>
          <t>1010</t>
        </is>
      </c>
      <c r="B56" s="3" t="inlineStr">
        <is>
          <t>Owen Park</t>
        </is>
      </c>
      <c r="C56" s="3" t="inlineStr">
        <is>
          <t>Walkthrough Clarity</t>
        </is>
      </c>
      <c r="D56" s="3" t="inlineStr">
        <is>
          <t>video</t>
        </is>
      </c>
      <c r="H56" s="3" t="inlineStr"/>
      <c r="J56" s="11" t="inlineStr"/>
      <c r="K56" s="3" t="inlineStr"/>
      <c r="L56" s="11" t="inlineStr"/>
    </row>
    <row r="57">
      <c r="A57" s="3" t="inlineStr">
        <is>
          <t>1010</t>
        </is>
      </c>
      <c r="B57" s="3" t="inlineStr">
        <is>
          <t>Owen Park</t>
        </is>
      </c>
      <c r="C57" s="3" t="inlineStr">
        <is>
          <t>Video Matches Notebook</t>
        </is>
      </c>
      <c r="D57" s="3" t="inlineStr">
        <is>
          <t>both</t>
        </is>
      </c>
      <c r="H57" s="3" t="inlineStr"/>
      <c r="J57" s="11" t="inlineStr"/>
      <c r="K57" s="3" t="inlineStr"/>
      <c r="L57" s="11" t="inlineStr"/>
    </row>
    <row r="58">
      <c r="A58" s="3" t="inlineStr">
        <is>
          <t>1003</t>
        </is>
      </c>
      <c r="B58" s="3" t="inlineStr">
        <is>
          <t>Priya Nair</t>
        </is>
      </c>
      <c r="C58" s="3" t="inlineStr">
        <is>
          <t>Data Cleaning</t>
        </is>
      </c>
      <c r="D58" s="3" t="inlineStr">
        <is>
          <t>notebook</t>
        </is>
      </c>
      <c r="E58" s="3" t="inlineStr">
        <is>
          <t>Developing</t>
        </is>
      </c>
      <c r="F58" s="3" t="n">
        <v>6</v>
      </c>
      <c r="G58" s="3" t="n">
        <v>6</v>
      </c>
      <c r="H58" s="3" t="inlineStr"/>
      <c r="I58" s="10" t="n">
        <v>0.67</v>
      </c>
      <c r="J58" s="11" t="inlineStr">
        <is>
          <t>Partly there; key steps are missing or not justified.</t>
        </is>
      </c>
      <c r="K58" s="3" t="inlineStr">
        <is>
          <t>cell 8</t>
        </is>
      </c>
      <c r="L58" s="11" t="inlineStr"/>
    </row>
    <row r="59">
      <c r="A59" s="3" t="inlineStr">
        <is>
          <t>1003</t>
        </is>
      </c>
      <c r="B59" s="3" t="inlineStr">
        <is>
          <t>Priya Nair</t>
        </is>
      </c>
      <c r="C59" s="3" t="inlineStr">
        <is>
          <t>Exploratory Analysis</t>
        </is>
      </c>
      <c r="D59" s="3" t="inlineStr">
        <is>
          <t>notebook</t>
        </is>
      </c>
      <c r="E59" s="3" t="inlineStr">
        <is>
          <t>Proficient</t>
        </is>
      </c>
      <c r="F59" s="3" t="n">
        <v>11</v>
      </c>
      <c r="G59" s="3" t="n">
        <v>11</v>
      </c>
      <c r="H59" s="3" t="inlineStr"/>
      <c r="I59" s="10" t="n">
        <v>0.9399999999999999</v>
      </c>
      <c r="J59" s="11" t="inlineStr">
        <is>
          <t>Solid work; a few points from the top level are missing or thin.</t>
        </is>
      </c>
      <c r="K59" s="3" t="inlineStr">
        <is>
          <t>cell 8</t>
        </is>
      </c>
      <c r="L59" s="11" t="inlineStr"/>
    </row>
    <row r="60">
      <c r="A60" s="3" t="inlineStr">
        <is>
          <t>1003</t>
        </is>
      </c>
      <c r="B60" s="3" t="inlineStr">
        <is>
          <t>Priya Nair</t>
        </is>
      </c>
      <c r="C60" s="3" t="inlineStr">
        <is>
          <t>Model &amp; Evaluation</t>
        </is>
      </c>
      <c r="D60" s="3" t="inlineStr">
        <is>
          <t>notebook</t>
        </is>
      </c>
      <c r="E60" s="3" t="inlineStr">
        <is>
          <t>Developing</t>
        </is>
      </c>
      <c r="F60" s="3" t="n">
        <v>8</v>
      </c>
      <c r="G60" s="3" t="n">
        <v>8</v>
      </c>
      <c r="H60" s="3" t="inlineStr"/>
      <c r="I60" s="10" t="n">
        <v>0.79</v>
      </c>
      <c r="J60" s="11" t="inlineStr">
        <is>
          <t>Partly there; key steps are missing or not justified.</t>
        </is>
      </c>
      <c r="K60" s="3" t="inlineStr">
        <is>
          <t>cell 22</t>
        </is>
      </c>
      <c r="L60" s="11" t="inlineStr"/>
    </row>
    <row r="61">
      <c r="A61" s="3" t="inlineStr">
        <is>
          <t>1003</t>
        </is>
      </c>
      <c r="B61" s="3" t="inlineStr">
        <is>
          <t>Priya Nair</t>
        </is>
      </c>
      <c r="C61" s="3" t="inlineStr">
        <is>
          <t>Code Runs &amp; Readability</t>
        </is>
      </c>
      <c r="D61" s="3" t="inlineStr">
        <is>
          <t>notebook</t>
        </is>
      </c>
      <c r="E61" s="3" t="inlineStr">
        <is>
          <t>Proficient</t>
        </is>
      </c>
      <c r="F61" s="3" t="n">
        <v>7</v>
      </c>
      <c r="G61" s="3" t="n">
        <v>7</v>
      </c>
      <c r="H61" s="3" t="inlineStr"/>
      <c r="I61" s="10" t="n">
        <v>0.64</v>
      </c>
      <c r="J61" s="11" t="inlineStr">
        <is>
          <t>Solid work; a few points from the top level are missing or thin.</t>
        </is>
      </c>
      <c r="K61" s="3" t="inlineStr">
        <is>
          <t>cell 30</t>
        </is>
      </c>
      <c r="L61" s="11" t="inlineStr"/>
    </row>
    <row r="62">
      <c r="A62" s="3" t="inlineStr">
        <is>
          <t>1003</t>
        </is>
      </c>
      <c r="B62" s="3" t="inlineStr">
        <is>
          <t>Priya Nair</t>
        </is>
      </c>
      <c r="C62" s="3" t="inlineStr">
        <is>
          <t>Explains Reasoning</t>
        </is>
      </c>
      <c r="D62" s="3" t="inlineStr">
        <is>
          <t>video</t>
        </is>
      </c>
      <c r="E62" s="3" t="inlineStr">
        <is>
          <t>Missing</t>
        </is>
      </c>
      <c r="F62" s="3" t="n">
        <v>0</v>
      </c>
      <c r="G62" s="3" t="n">
        <v>0</v>
      </c>
      <c r="H62" s="3" t="inlineStr"/>
      <c r="I62" s="10" t="n">
        <v>0.99</v>
      </c>
      <c r="J62" s="11" t="inlineStr">
        <is>
          <t>No video was available to grade.</t>
        </is>
      </c>
      <c r="K62" s="3" t="inlineStr"/>
      <c r="L62" s="11" t="inlineStr"/>
    </row>
    <row r="63">
      <c r="A63" s="3" t="inlineStr">
        <is>
          <t>1003</t>
        </is>
      </c>
      <c r="B63" s="3" t="inlineStr">
        <is>
          <t>Priya Nair</t>
        </is>
      </c>
      <c r="C63" s="3" t="inlineStr">
        <is>
          <t>Walkthrough Clarity</t>
        </is>
      </c>
      <c r="D63" s="3" t="inlineStr">
        <is>
          <t>video</t>
        </is>
      </c>
      <c r="E63" s="3" t="inlineStr">
        <is>
          <t>Missing</t>
        </is>
      </c>
      <c r="F63" s="3" t="n">
        <v>0</v>
      </c>
      <c r="G63" s="3" t="n">
        <v>0</v>
      </c>
      <c r="H63" s="3" t="inlineStr"/>
      <c r="I63" s="10" t="n">
        <v>0.99</v>
      </c>
      <c r="J63" s="11" t="inlineStr">
        <is>
          <t>No video was available to grade.</t>
        </is>
      </c>
      <c r="K63" s="3" t="inlineStr"/>
      <c r="L63" s="11" t="inlineStr"/>
    </row>
    <row r="64">
      <c r="A64" s="3" t="inlineStr">
        <is>
          <t>1003</t>
        </is>
      </c>
      <c r="B64" s="3" t="inlineStr">
        <is>
          <t>Priya Nair</t>
        </is>
      </c>
      <c r="C64" s="3" t="inlineStr">
        <is>
          <t>Video Matches Notebook</t>
        </is>
      </c>
      <c r="D64" s="3" t="inlineStr">
        <is>
          <t>both</t>
        </is>
      </c>
      <c r="E64" s="3" t="inlineStr">
        <is>
          <t>Mismatch</t>
        </is>
      </c>
      <c r="F64" s="3" t="n">
        <v>0</v>
      </c>
      <c r="G64" s="3" t="n">
        <v>0</v>
      </c>
      <c r="H64" s="3" t="inlineStr"/>
      <c r="I64" s="10" t="n">
        <v>0.99</v>
      </c>
      <c r="J64" s="11" t="inlineStr">
        <is>
          <t>No video was available to grade.</t>
        </is>
      </c>
      <c r="K64" s="3" t="inlineStr"/>
      <c r="L64" s="11" t="inlineStr"/>
    </row>
    <row r="65">
      <c r="A65" s="3" t="inlineStr">
        <is>
          <t>1007</t>
        </is>
      </c>
      <c r="B65" s="3" t="inlineStr">
        <is>
          <t>Sofia Moreno</t>
        </is>
      </c>
      <c r="C65" s="3" t="inlineStr">
        <is>
          <t>Data Cleaning</t>
        </is>
      </c>
      <c r="D65" s="3" t="inlineStr">
        <is>
          <t>notebook</t>
        </is>
      </c>
      <c r="E65" s="3" t="inlineStr">
        <is>
          <t>Excellent</t>
        </is>
      </c>
      <c r="F65" s="3" t="n">
        <v>15</v>
      </c>
      <c r="G65" s="3" t="n">
        <v>15</v>
      </c>
      <c r="H65" s="3" t="inlineStr"/>
      <c r="I65" s="10" t="n">
        <v>0.74</v>
      </c>
      <c r="J65" s="11" t="inlineStr">
        <is>
          <t>Meets every point in the top-level description.</t>
        </is>
      </c>
      <c r="K65" s="3" t="inlineStr">
        <is>
          <t>cell 8</t>
        </is>
      </c>
      <c r="L65" s="11" t="inlineStr"/>
    </row>
    <row r="66">
      <c r="A66" s="3" t="inlineStr">
        <is>
          <t>1007</t>
        </is>
      </c>
      <c r="B66" s="3" t="inlineStr">
        <is>
          <t>Sofia Moreno</t>
        </is>
      </c>
      <c r="C66" s="3" t="inlineStr">
        <is>
          <t>Exploratory Analysis</t>
        </is>
      </c>
      <c r="D66" s="3" t="inlineStr">
        <is>
          <t>notebook</t>
        </is>
      </c>
      <c r="E66" s="3" t="inlineStr">
        <is>
          <t>Excellent</t>
        </is>
      </c>
      <c r="F66" s="3" t="n">
        <v>15</v>
      </c>
      <c r="G66" s="3" t="n">
        <v>15</v>
      </c>
      <c r="H66" s="3" t="inlineStr"/>
      <c r="I66" s="10" t="n">
        <v>0.63</v>
      </c>
      <c r="J66" s="11" t="inlineStr">
        <is>
          <t>Meets every point in the top-level description.</t>
        </is>
      </c>
      <c r="K66" s="3" t="inlineStr">
        <is>
          <t>cell 21</t>
        </is>
      </c>
      <c r="L66" s="11" t="inlineStr"/>
    </row>
    <row r="67">
      <c r="A67" s="3" t="inlineStr">
        <is>
          <t>1007</t>
        </is>
      </c>
      <c r="B67" s="3" t="inlineStr">
        <is>
          <t>Sofia Moreno</t>
        </is>
      </c>
      <c r="C67" s="3" t="inlineStr">
        <is>
          <t>Model &amp; Evaluation</t>
        </is>
      </c>
      <c r="D67" s="3" t="inlineStr">
        <is>
          <t>notebook</t>
        </is>
      </c>
      <c r="E67" s="3" t="inlineStr">
        <is>
          <t>Proficient</t>
        </is>
      </c>
      <c r="F67" s="3" t="n">
        <v>15</v>
      </c>
      <c r="G67" s="3" t="n">
        <v>15</v>
      </c>
      <c r="H67" s="3" t="inlineStr"/>
      <c r="I67" s="10" t="n">
        <v>0.8</v>
      </c>
      <c r="J67" s="11" t="inlineStr">
        <is>
          <t>Solid work; a few points from the top level are missing or thin.</t>
        </is>
      </c>
      <c r="K67" s="3" t="inlineStr">
        <is>
          <t>cell 29</t>
        </is>
      </c>
      <c r="L67" s="11" t="inlineStr"/>
    </row>
    <row r="68">
      <c r="A68" s="3" t="inlineStr">
        <is>
          <t>1007</t>
        </is>
      </c>
      <c r="B68" s="3" t="inlineStr">
        <is>
          <t>Sofia Moreno</t>
        </is>
      </c>
      <c r="C68" s="3" t="inlineStr">
        <is>
          <t>Code Runs &amp; Readability</t>
        </is>
      </c>
      <c r="D68" s="3" t="inlineStr">
        <is>
          <t>notebook</t>
        </is>
      </c>
      <c r="E68" s="3" t="inlineStr">
        <is>
          <t>Excellent</t>
        </is>
      </c>
      <c r="F68" s="3" t="n">
        <v>10</v>
      </c>
      <c r="G68" s="3" t="n">
        <v>10</v>
      </c>
      <c r="H68" s="3" t="inlineStr"/>
      <c r="I68" s="10" t="n">
        <v>0.6899999999999999</v>
      </c>
      <c r="J68" s="11" t="inlineStr">
        <is>
          <t>Meets every point in the top-level description.</t>
        </is>
      </c>
      <c r="K68" s="3" t="inlineStr">
        <is>
          <t>cell 16</t>
        </is>
      </c>
      <c r="L68" s="11" t="inlineStr"/>
    </row>
    <row r="69">
      <c r="A69" s="3" t="inlineStr">
        <is>
          <t>1007</t>
        </is>
      </c>
      <c r="B69" s="3" t="inlineStr">
        <is>
          <t>Sofia Moreno</t>
        </is>
      </c>
      <c r="C69" s="3" t="inlineStr">
        <is>
          <t>Explains Reasoning</t>
        </is>
      </c>
      <c r="D69" s="3" t="inlineStr">
        <is>
          <t>video</t>
        </is>
      </c>
      <c r="E69" s="3" t="inlineStr">
        <is>
          <t>Excellent</t>
        </is>
      </c>
      <c r="F69" s="3" t="n">
        <v>20</v>
      </c>
      <c r="G69" s="3" t="n">
        <v>20</v>
      </c>
      <c r="H69" s="3" t="inlineStr"/>
      <c r="I69" s="10" t="n">
        <v>0.78</v>
      </c>
      <c r="J69" s="11" t="inlineStr">
        <is>
          <t>Meets every point in the top-level description.</t>
        </is>
      </c>
      <c r="K69" s="3" t="inlineStr">
        <is>
          <t>video 02:33</t>
        </is>
      </c>
      <c r="L69" s="11" t="inlineStr"/>
    </row>
    <row r="70">
      <c r="A70" s="3" t="inlineStr">
        <is>
          <t>1007</t>
        </is>
      </c>
      <c r="B70" s="3" t="inlineStr">
        <is>
          <t>Sofia Moreno</t>
        </is>
      </c>
      <c r="C70" s="3" t="inlineStr">
        <is>
          <t>Walkthrough Clarity</t>
        </is>
      </c>
      <c r="D70" s="3" t="inlineStr">
        <is>
          <t>video</t>
        </is>
      </c>
      <c r="E70" s="3" t="inlineStr">
        <is>
          <t>Excellent</t>
        </is>
      </c>
      <c r="F70" s="3" t="n">
        <v>10</v>
      </c>
      <c r="G70" s="3" t="n">
        <v>10</v>
      </c>
      <c r="H70" s="3" t="inlineStr"/>
      <c r="I70" s="10" t="n">
        <v>0.73</v>
      </c>
      <c r="J70" s="11" t="inlineStr">
        <is>
          <t>Meets every point in the top-level description.</t>
        </is>
      </c>
      <c r="K70" s="3" t="inlineStr">
        <is>
          <t>video 00:55</t>
        </is>
      </c>
      <c r="L70" s="11" t="inlineStr"/>
    </row>
    <row r="71">
      <c r="A71" s="3" t="inlineStr">
        <is>
          <t>1007</t>
        </is>
      </c>
      <c r="B71" s="3" t="inlineStr">
        <is>
          <t>Sofia Moreno</t>
        </is>
      </c>
      <c r="C71" s="3" t="inlineStr">
        <is>
          <t>Video Matches Notebook</t>
        </is>
      </c>
      <c r="D71" s="3" t="inlineStr">
        <is>
          <t>both</t>
        </is>
      </c>
      <c r="E71" s="3" t="inlineStr">
        <is>
          <t>Consistent</t>
        </is>
      </c>
      <c r="F71" s="3" t="n">
        <v>10</v>
      </c>
      <c r="G71" s="3" t="n">
        <v>10</v>
      </c>
      <c r="H71" s="3" t="inlineStr"/>
      <c r="I71" s="10" t="n">
        <v>0.68</v>
      </c>
      <c r="J71" s="11" t="inlineStr">
        <is>
          <t>Meets every point in the top-level description.</t>
        </is>
      </c>
      <c r="K71" s="3" t="inlineStr">
        <is>
          <t>cell 14, video 04:28</t>
        </is>
      </c>
      <c r="L71" s="11" t="inlineStr"/>
    </row>
  </sheetData>
  <autoFilter ref="A1:L71"/>
  <conditionalFormatting sqref="A2:L71">
    <cfRule type="expression" priority="1" dxfId="0">
      <formula>AND(ISNUMBER($I2),$I2&lt;0.7)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90" customWidth="1" min="5" max="5"/>
  </cols>
  <sheetData>
    <row r="1" ht="32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Out of</t>
        </is>
      </c>
      <c r="E1" s="1" t="inlineStr">
        <is>
          <t>Feedback to student</t>
        </is>
      </c>
    </row>
    <row r="2">
      <c r="A2" s="3" t="inlineStr">
        <is>
          <t>1001</t>
        </is>
      </c>
      <c r="B2" s="3" t="inlineStr">
        <is>
          <t>Ana Ruiz</t>
        </is>
      </c>
      <c r="C2" s="3" t="n">
        <v>60</v>
      </c>
      <c r="D2" s="3" t="n">
        <v>100</v>
      </c>
      <c r="E2" s="11" t="inlineStr">
        <is>
          <t>Good structure overall. See the per-criterion notes for where to push further.</t>
        </is>
      </c>
    </row>
    <row r="3">
      <c r="A3" s="3" t="inlineStr">
        <is>
          <t>1004</t>
        </is>
      </c>
      <c r="B3" s="3" t="inlineStr">
        <is>
          <t>Diego Santos</t>
        </is>
      </c>
      <c r="C3" s="3" t="n">
        <v>92</v>
      </c>
      <c r="D3" s="3" t="n">
        <v>100</v>
      </c>
      <c r="E3" s="11" t="inlineStr">
        <is>
          <t>Good structure overall. See the per-criterion notes for where to push further.</t>
        </is>
      </c>
    </row>
    <row r="4">
      <c r="A4" s="3" t="inlineStr">
        <is>
          <t>1005</t>
        </is>
      </c>
      <c r="B4" s="3" t="inlineStr">
        <is>
          <t>Hannah Cole</t>
        </is>
      </c>
      <c r="C4" s="3" t="n">
        <v>62</v>
      </c>
      <c r="D4" s="3" t="n">
        <v>100</v>
      </c>
      <c r="E4" s="11" t="inlineStr">
        <is>
          <t>Good structure overall. See the per-criterion notes for where to push further.</t>
        </is>
      </c>
    </row>
    <row r="5">
      <c r="A5" s="3" t="inlineStr">
        <is>
          <t>1006</t>
        </is>
      </c>
      <c r="B5" s="3" t="inlineStr">
        <is>
          <t>Jamal Price</t>
        </is>
      </c>
      <c r="C5" s="3" t="n">
        <v>75</v>
      </c>
      <c r="D5" s="3" t="n">
        <v>100</v>
      </c>
      <c r="E5" s="11" t="inlineStr">
        <is>
          <t>Good structure overall. See the per-criterion notes for where to push further.</t>
        </is>
      </c>
    </row>
    <row r="6">
      <c r="A6" s="3" t="inlineStr">
        <is>
          <t>1008</t>
        </is>
      </c>
      <c r="B6" s="3" t="inlineStr">
        <is>
          <t>Kevin Tran</t>
        </is>
      </c>
      <c r="C6" s="3" t="n">
        <v>55</v>
      </c>
      <c r="D6" s="3" t="n">
        <v>100</v>
      </c>
      <c r="E6" s="11" t="inlineStr">
        <is>
          <t>Good structure overall. See the per-criterion notes for where to push further.</t>
        </is>
      </c>
    </row>
    <row r="7">
      <c r="A7" s="3" t="inlineStr">
        <is>
          <t>1009</t>
        </is>
      </c>
      <c r="B7" s="3" t="inlineStr">
        <is>
          <t>Lucia Ferreira</t>
        </is>
      </c>
      <c r="C7" s="3" t="n">
        <v>60</v>
      </c>
      <c r="D7" s="3" t="n">
        <v>100</v>
      </c>
      <c r="E7" s="11" t="inlineStr">
        <is>
          <t>Good structure overall. See the per-criterion notes for where to push further.</t>
        </is>
      </c>
    </row>
    <row r="8">
      <c r="A8" s="3" t="inlineStr">
        <is>
          <t>1002</t>
        </is>
      </c>
      <c r="B8" s="3" t="inlineStr">
        <is>
          <t>Marcus Bell</t>
        </is>
      </c>
      <c r="C8" s="3" t="n">
        <v>97</v>
      </c>
      <c r="D8" s="3" t="n">
        <v>100</v>
      </c>
      <c r="E8" s="11" t="inlineStr">
        <is>
          <t>Strong project, Marcus. Your residual analysis was the best in the class.</t>
        </is>
      </c>
    </row>
    <row r="9">
      <c r="A9" s="3" t="inlineStr">
        <is>
          <t>1010</t>
        </is>
      </c>
      <c r="B9" s="3" t="inlineStr">
        <is>
          <t>Owen Park</t>
        </is>
      </c>
      <c r="D9" s="3" t="n">
        <v>100</v>
      </c>
      <c r="E9" s="11" t="inlineStr"/>
    </row>
    <row r="10">
      <c r="A10" s="3" t="inlineStr">
        <is>
          <t>1003</t>
        </is>
      </c>
      <c r="B10" s="3" t="inlineStr">
        <is>
          <t>Priya Nair</t>
        </is>
      </c>
      <c r="C10" s="3" t="n">
        <v>32</v>
      </c>
      <c r="D10" s="3" t="n">
        <v>100</v>
      </c>
      <c r="E10" s="11" t="inlineStr">
        <is>
          <t>Your notebook is graded. The video was a Drive link I couldn't open; upload the file itself and I'll grade the video criteria.</t>
        </is>
      </c>
    </row>
    <row r="11">
      <c r="A11" s="3" t="inlineStr">
        <is>
          <t>1007</t>
        </is>
      </c>
      <c r="B11" s="3" t="inlineStr">
        <is>
          <t>Sofia Moreno</t>
        </is>
      </c>
      <c r="C11" s="3" t="n">
        <v>95</v>
      </c>
      <c r="D11" s="3" t="n">
        <v>100</v>
      </c>
      <c r="E11" s="11" t="inlineStr">
        <is>
          <t>Good structure overall. See the per-criterion notes for where to push further.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0" customWidth="1" min="3" max="3"/>
  </cols>
  <sheetData>
    <row r="1" ht="32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Issue</t>
        </is>
      </c>
    </row>
    <row r="2">
      <c r="A2" s="3" t="inlineStr">
        <is>
          <t>1004</t>
        </is>
      </c>
      <c r="B2" s="3" t="inlineStr">
        <is>
          <t>Diego Santos</t>
        </is>
      </c>
      <c r="C2" s="3" t="inlineStr">
        <is>
          <t>Submitted late</t>
        </is>
      </c>
    </row>
    <row r="3">
      <c r="A3" s="3" t="inlineStr">
        <is>
          <t>1005</t>
        </is>
      </c>
      <c r="B3" s="3" t="inlineStr">
        <is>
          <t>Hannah Cole</t>
        </is>
      </c>
      <c r="C3" s="3" t="inlineStr">
        <is>
          <t>project2.ipynb was saved without outputs (cells were never run)</t>
        </is>
      </c>
    </row>
    <row r="4">
      <c r="A4" s="3" t="inlineStr">
        <is>
          <t>1008</t>
        </is>
      </c>
      <c r="B4" s="3" t="inlineStr">
        <is>
          <t>Kevin Tran</t>
        </is>
      </c>
      <c r="C4" s="3" t="inlineStr">
        <is>
          <t>No video found</t>
        </is>
      </c>
    </row>
    <row r="5">
      <c r="A5" s="3" t="inlineStr">
        <is>
          <t>1010</t>
        </is>
      </c>
      <c r="B5" s="3" t="inlineStr">
        <is>
          <t>Owen Park</t>
        </is>
      </c>
      <c r="C5" s="3" t="inlineStr">
        <is>
          <t>Nothing submitted</t>
        </is>
      </c>
    </row>
    <row r="6">
      <c r="A6" s="3" t="inlineStr">
        <is>
          <t>1003</t>
        </is>
      </c>
      <c r="B6" s="3" t="inlineStr">
        <is>
          <t>Priya Nair</t>
        </is>
      </c>
      <c r="C6" s="3" t="inlineStr">
        <is>
          <t>Video submitted as a link — download it before video grading: https://drive.google.com/file/d/EXAMPLE/view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8" customWidth="1" min="4" max="4"/>
    <col width="14" customWidth="1" min="5" max="5"/>
    <col width="11" customWidth="1" min="6" max="6"/>
    <col width="80" customWidth="1" min="7" max="7"/>
  </cols>
  <sheetData>
    <row r="1">
      <c r="A1" s="12" t="inlineStr">
        <is>
          <t>Project 2 - Housing Price Regression</t>
        </is>
      </c>
    </row>
    <row r="2">
      <c r="A2" s="3" t="inlineStr">
        <is>
          <t>Total: 100 points</t>
        </is>
      </c>
    </row>
    <row r="3"/>
    <row r="4" ht="32" customHeight="1">
      <c r="A4" s="1" t="inlineStr">
        <is>
          <t>Criterion ID</t>
        </is>
      </c>
      <c r="B4" s="1" t="inlineStr">
        <is>
          <t>Criterion</t>
        </is>
      </c>
      <c r="C4" s="1" t="inlineStr">
        <is>
          <t>Graded from</t>
        </is>
      </c>
      <c r="D4" s="1" t="inlineStr">
        <is>
          <t>Points</t>
        </is>
      </c>
      <c r="E4" s="1" t="inlineStr">
        <is>
          <t>Level</t>
        </is>
      </c>
      <c r="F4" s="1" t="inlineStr">
        <is>
          <t>Level score</t>
        </is>
      </c>
      <c r="G4" s="1" t="inlineStr">
        <is>
          <t>Description</t>
        </is>
      </c>
    </row>
    <row r="5">
      <c r="A5" s="3" t="inlineStr">
        <is>
          <t>data_cleaning</t>
        </is>
      </c>
      <c r="B5" s="3" t="inlineStr">
        <is>
          <t>Data Cleaning</t>
        </is>
      </c>
      <c r="C5" s="3" t="inlineStr">
        <is>
          <t>notebook</t>
        </is>
      </c>
      <c r="D5" s="3" t="n">
        <v>15</v>
      </c>
      <c r="E5" s="3" t="inlineStr">
        <is>
          <t>Excellent</t>
        </is>
      </c>
      <c r="F5" s="3" t="n">
        <v>15</v>
      </c>
      <c r="G5" s="11" t="inlineStr">
        <is>
          <t>Handles missing values, types and outliers, and explains each choice in markdown.</t>
        </is>
      </c>
    </row>
    <row r="6">
      <c r="A6" s="3" t="inlineStr">
        <is>
          <t>data_cleaning</t>
        </is>
      </c>
      <c r="B6" s="3" t="inlineStr">
        <is>
          <t>Data Cleaning</t>
        </is>
      </c>
      <c r="C6" s="3" t="inlineStr">
        <is>
          <t>notebook</t>
        </is>
      </c>
      <c r="D6" s="3" t="n">
        <v>15</v>
      </c>
      <c r="E6" s="3" t="inlineStr">
        <is>
          <t>Proficient</t>
        </is>
      </c>
      <c r="F6" s="3" t="n">
        <v>11</v>
      </c>
      <c r="G6" s="11" t="inlineStr">
        <is>
          <t>Handles missing values and types; little justification for the choices.</t>
        </is>
      </c>
    </row>
    <row r="7">
      <c r="A7" s="3" t="inlineStr">
        <is>
          <t>data_cleaning</t>
        </is>
      </c>
      <c r="B7" s="3" t="inlineStr">
        <is>
          <t>Data Cleaning</t>
        </is>
      </c>
      <c r="C7" s="3" t="inlineStr">
        <is>
          <t>notebook</t>
        </is>
      </c>
      <c r="D7" s="3" t="n">
        <v>15</v>
      </c>
      <c r="E7" s="3" t="inlineStr">
        <is>
          <t>Developing</t>
        </is>
      </c>
      <c r="F7" s="3" t="n">
        <v>6</v>
      </c>
      <c r="G7" s="11" t="inlineStr">
        <is>
          <t>Cleaning is partial or applied without checking its effect.</t>
        </is>
      </c>
    </row>
    <row r="8">
      <c r="A8" s="3" t="inlineStr">
        <is>
          <t>data_cleaning</t>
        </is>
      </c>
      <c r="B8" s="3" t="inlineStr">
        <is>
          <t>Data Cleaning</t>
        </is>
      </c>
      <c r="C8" s="3" t="inlineStr">
        <is>
          <t>notebook</t>
        </is>
      </c>
      <c r="D8" s="3" t="n">
        <v>15</v>
      </c>
      <c r="E8" s="3" t="inlineStr">
        <is>
          <t>Missing</t>
        </is>
      </c>
      <c r="F8" s="3" t="n">
        <v>0</v>
      </c>
      <c r="G8" s="11" t="inlineStr">
        <is>
          <t>No cleaning step.</t>
        </is>
      </c>
    </row>
    <row r="9">
      <c r="A9" s="3" t="inlineStr">
        <is>
          <t>eda</t>
        </is>
      </c>
      <c r="B9" s="3" t="inlineStr">
        <is>
          <t>Exploratory Analysis</t>
        </is>
      </c>
      <c r="C9" s="3" t="inlineStr">
        <is>
          <t>notebook</t>
        </is>
      </c>
      <c r="D9" s="3" t="n">
        <v>15</v>
      </c>
      <c r="E9" s="3" t="inlineStr">
        <is>
          <t>Excellent</t>
        </is>
      </c>
      <c r="F9" s="3" t="n">
        <v>15</v>
      </c>
      <c r="G9" s="11" t="inlineStr">
        <is>
          <t>Summary stats plus at least three labeled charts, each followed by a written takeaway.</t>
        </is>
      </c>
    </row>
    <row r="10">
      <c r="A10" s="3" t="inlineStr">
        <is>
          <t>eda</t>
        </is>
      </c>
      <c r="B10" s="3" t="inlineStr">
        <is>
          <t>Exploratory Analysis</t>
        </is>
      </c>
      <c r="C10" s="3" t="inlineStr">
        <is>
          <t>notebook</t>
        </is>
      </c>
      <c r="D10" s="3" t="n">
        <v>15</v>
      </c>
      <c r="E10" s="3" t="inlineStr">
        <is>
          <t>Proficient</t>
        </is>
      </c>
      <c r="F10" s="3" t="n">
        <v>11</v>
      </c>
      <c r="G10" s="11" t="inlineStr">
        <is>
          <t>Relevant charts and stats, but takeaways are thin or missing for some.</t>
        </is>
      </c>
    </row>
    <row r="11">
      <c r="A11" s="3" t="inlineStr">
        <is>
          <t>eda</t>
        </is>
      </c>
      <c r="B11" s="3" t="inlineStr">
        <is>
          <t>Exploratory Analysis</t>
        </is>
      </c>
      <c r="C11" s="3" t="inlineStr">
        <is>
          <t>notebook</t>
        </is>
      </c>
      <c r="D11" s="3" t="n">
        <v>15</v>
      </c>
      <c r="E11" s="3" t="inlineStr">
        <is>
          <t>Developing</t>
        </is>
      </c>
      <c r="F11" s="3" t="n">
        <v>6</v>
      </c>
      <c r="G11" s="11" t="inlineStr">
        <is>
          <t>Few or unlabeled charts; no interpretation.</t>
        </is>
      </c>
    </row>
    <row r="12">
      <c r="A12" s="3" t="inlineStr">
        <is>
          <t>eda</t>
        </is>
      </c>
      <c r="B12" s="3" t="inlineStr">
        <is>
          <t>Exploratory Analysis</t>
        </is>
      </c>
      <c r="C12" s="3" t="inlineStr">
        <is>
          <t>notebook</t>
        </is>
      </c>
      <c r="D12" s="3" t="n">
        <v>15</v>
      </c>
      <c r="E12" s="3" t="inlineStr">
        <is>
          <t>Missing</t>
        </is>
      </c>
      <c r="F12" s="3" t="n">
        <v>0</v>
      </c>
      <c r="G12" s="11" t="inlineStr">
        <is>
          <t>No exploratory analysis.</t>
        </is>
      </c>
    </row>
    <row r="13">
      <c r="A13" s="3" t="inlineStr">
        <is>
          <t>modeling</t>
        </is>
      </c>
      <c r="B13" s="3" t="inlineStr">
        <is>
          <t>Model &amp; Evaluation</t>
        </is>
      </c>
      <c r="C13" s="3" t="inlineStr">
        <is>
          <t>notebook</t>
        </is>
      </c>
      <c r="D13" s="3" t="n">
        <v>20</v>
      </c>
      <c r="E13" s="3" t="inlineStr">
        <is>
          <t>Excellent</t>
        </is>
      </c>
      <c r="F13" s="3" t="n">
        <v>20</v>
      </c>
      <c r="G13" s="11" t="inlineStr">
        <is>
          <t>Train/test split, fitted regression, R² and RMSE reported, residuals checked, results interpreted.</t>
        </is>
      </c>
    </row>
    <row r="14">
      <c r="A14" s="3" t="inlineStr">
        <is>
          <t>modeling</t>
        </is>
      </c>
      <c r="B14" s="3" t="inlineStr">
        <is>
          <t>Model &amp; Evaluation</t>
        </is>
      </c>
      <c r="C14" s="3" t="inlineStr">
        <is>
          <t>notebook</t>
        </is>
      </c>
      <c r="D14" s="3" t="n">
        <v>20</v>
      </c>
      <c r="E14" s="3" t="inlineStr">
        <is>
          <t>Proficient</t>
        </is>
      </c>
      <c r="F14" s="3" t="n">
        <v>15</v>
      </c>
      <c r="G14" s="11" t="inlineStr">
        <is>
          <t>Model fitted and evaluated with at least one metric; interpretation is brief.</t>
        </is>
      </c>
    </row>
    <row r="15">
      <c r="A15" s="3" t="inlineStr">
        <is>
          <t>modeling</t>
        </is>
      </c>
      <c r="B15" s="3" t="inlineStr">
        <is>
          <t>Model &amp; Evaluation</t>
        </is>
      </c>
      <c r="C15" s="3" t="inlineStr">
        <is>
          <t>notebook</t>
        </is>
      </c>
      <c r="D15" s="3" t="n">
        <v>20</v>
      </c>
      <c r="E15" s="3" t="inlineStr">
        <is>
          <t>Developing</t>
        </is>
      </c>
      <c r="F15" s="3" t="n">
        <v>8</v>
      </c>
      <c r="G15" s="11" t="inlineStr">
        <is>
          <t>Model fitted without a proper split or evaluation.</t>
        </is>
      </c>
    </row>
    <row r="16">
      <c r="A16" s="3" t="inlineStr">
        <is>
          <t>modeling</t>
        </is>
      </c>
      <c r="B16" s="3" t="inlineStr">
        <is>
          <t>Model &amp; Evaluation</t>
        </is>
      </c>
      <c r="C16" s="3" t="inlineStr">
        <is>
          <t>notebook</t>
        </is>
      </c>
      <c r="D16" s="3" t="n">
        <v>20</v>
      </c>
      <c r="E16" s="3" t="inlineStr">
        <is>
          <t>Missing</t>
        </is>
      </c>
      <c r="F16" s="3" t="n">
        <v>0</v>
      </c>
      <c r="G16" s="11" t="inlineStr">
        <is>
          <t>No model.</t>
        </is>
      </c>
    </row>
    <row r="17">
      <c r="A17" s="3" t="inlineStr">
        <is>
          <t>code_quality</t>
        </is>
      </c>
      <c r="B17" s="3" t="inlineStr">
        <is>
          <t>Code Runs &amp; Readability</t>
        </is>
      </c>
      <c r="C17" s="3" t="inlineStr">
        <is>
          <t>notebook</t>
        </is>
      </c>
      <c r="D17" s="3" t="n">
        <v>10</v>
      </c>
      <c r="E17" s="3" t="inlineStr">
        <is>
          <t>Excellent</t>
        </is>
      </c>
      <c r="F17" s="3" t="n">
        <v>10</v>
      </c>
      <c r="G17" s="11" t="inlineStr">
        <is>
          <t>Runs top to bottom without errors; clear names, sections and comments.</t>
        </is>
      </c>
    </row>
    <row r="18">
      <c r="A18" s="3" t="inlineStr">
        <is>
          <t>code_quality</t>
        </is>
      </c>
      <c r="B18" s="3" t="inlineStr">
        <is>
          <t>Code Runs &amp; Readability</t>
        </is>
      </c>
      <c r="C18" s="3" t="inlineStr">
        <is>
          <t>notebook</t>
        </is>
      </c>
      <c r="D18" s="3" t="n">
        <v>10</v>
      </c>
      <c r="E18" s="3" t="inlineStr">
        <is>
          <t>Proficient</t>
        </is>
      </c>
      <c r="F18" s="3" t="n">
        <v>7</v>
      </c>
      <c r="G18" s="11" t="inlineStr">
        <is>
          <t>Runs with minor issues; mostly readable.</t>
        </is>
      </c>
    </row>
    <row r="19">
      <c r="A19" s="3" t="inlineStr">
        <is>
          <t>code_quality</t>
        </is>
      </c>
      <c r="B19" s="3" t="inlineStr">
        <is>
          <t>Code Runs &amp; Readability</t>
        </is>
      </c>
      <c r="C19" s="3" t="inlineStr">
        <is>
          <t>notebook</t>
        </is>
      </c>
      <c r="D19" s="3" t="n">
        <v>10</v>
      </c>
      <c r="E19" s="3" t="inlineStr">
        <is>
          <t>Developing</t>
        </is>
      </c>
      <c r="F19" s="3" t="n">
        <v>3</v>
      </c>
      <c r="G19" s="11" t="inlineStr">
        <is>
          <t>Errors or out-of-order cells; hard to follow.</t>
        </is>
      </c>
    </row>
    <row r="20">
      <c r="A20" s="3" t="inlineStr">
        <is>
          <t>code_quality</t>
        </is>
      </c>
      <c r="B20" s="3" t="inlineStr">
        <is>
          <t>Code Runs &amp; Readability</t>
        </is>
      </c>
      <c r="C20" s="3" t="inlineStr">
        <is>
          <t>notebook</t>
        </is>
      </c>
      <c r="D20" s="3" t="n">
        <v>10</v>
      </c>
      <c r="E20" s="3" t="inlineStr">
        <is>
          <t>Missing</t>
        </is>
      </c>
      <c r="F20" s="3" t="n">
        <v>0</v>
      </c>
      <c r="G20" s="11" t="inlineStr">
        <is>
          <t>Does not run.</t>
        </is>
      </c>
    </row>
    <row r="21">
      <c r="A21" s="3" t="inlineStr">
        <is>
          <t>explains_reasoning</t>
        </is>
      </c>
      <c r="B21" s="3" t="inlineStr">
        <is>
          <t>Explains Reasoning</t>
        </is>
      </c>
      <c r="C21" s="3" t="inlineStr">
        <is>
          <t>video</t>
        </is>
      </c>
      <c r="D21" s="3" t="n">
        <v>20</v>
      </c>
      <c r="E21" s="3" t="inlineStr">
        <is>
          <t>Excellent</t>
        </is>
      </c>
      <c r="F21" s="3" t="n">
        <v>20</v>
      </c>
      <c r="G21" s="11" t="inlineStr">
        <is>
          <t>Explains why each major step was done and what the results mean, not only what the code does.</t>
        </is>
      </c>
    </row>
    <row r="22">
      <c r="A22" s="3" t="inlineStr">
        <is>
          <t>explains_reasoning</t>
        </is>
      </c>
      <c r="B22" s="3" t="inlineStr">
        <is>
          <t>Explains Reasoning</t>
        </is>
      </c>
      <c r="C22" s="3" t="inlineStr">
        <is>
          <t>video</t>
        </is>
      </c>
      <c r="D22" s="3" t="n">
        <v>20</v>
      </c>
      <c r="E22" s="3" t="inlineStr">
        <is>
          <t>Proficient</t>
        </is>
      </c>
      <c r="F22" s="3" t="n">
        <v>15</v>
      </c>
      <c r="G22" s="11" t="inlineStr">
        <is>
          <t>Explains most steps; some reasoning is skipped or vague.</t>
        </is>
      </c>
    </row>
    <row r="23">
      <c r="A23" s="3" t="inlineStr">
        <is>
          <t>explains_reasoning</t>
        </is>
      </c>
      <c r="B23" s="3" t="inlineStr">
        <is>
          <t>Explains Reasoning</t>
        </is>
      </c>
      <c r="C23" s="3" t="inlineStr">
        <is>
          <t>video</t>
        </is>
      </c>
      <c r="D23" s="3" t="n">
        <v>20</v>
      </c>
      <c r="E23" s="3" t="inlineStr">
        <is>
          <t>Developing</t>
        </is>
      </c>
      <c r="F23" s="3" t="n">
        <v>8</v>
      </c>
      <c r="G23" s="11" t="inlineStr">
        <is>
          <t>Mostly reads the code aloud with little reasoning.</t>
        </is>
      </c>
    </row>
    <row r="24">
      <c r="A24" s="3" t="inlineStr">
        <is>
          <t>explains_reasoning</t>
        </is>
      </c>
      <c r="B24" s="3" t="inlineStr">
        <is>
          <t>Explains Reasoning</t>
        </is>
      </c>
      <c r="C24" s="3" t="inlineStr">
        <is>
          <t>video</t>
        </is>
      </c>
      <c r="D24" s="3" t="n">
        <v>20</v>
      </c>
      <c r="E24" s="3" t="inlineStr">
        <is>
          <t>Missing</t>
        </is>
      </c>
      <c r="F24" s="3" t="n">
        <v>0</v>
      </c>
      <c r="G24" s="11" t="inlineStr">
        <is>
          <t>No explanation of reasoning.</t>
        </is>
      </c>
    </row>
    <row r="25">
      <c r="A25" s="3" t="inlineStr">
        <is>
          <t>walkthrough_clarity</t>
        </is>
      </c>
      <c r="B25" s="3" t="inlineStr">
        <is>
          <t>Walkthrough Clarity</t>
        </is>
      </c>
      <c r="C25" s="3" t="inlineStr">
        <is>
          <t>video</t>
        </is>
      </c>
      <c r="D25" s="3" t="n">
        <v>10</v>
      </c>
      <c r="E25" s="3" t="inlineStr">
        <is>
          <t>Excellent</t>
        </is>
      </c>
      <c r="F25" s="3" t="n">
        <v>10</v>
      </c>
      <c r="G25" s="11" t="inlineStr">
        <is>
          <t>Organized, audible, within the time limit, notebook clearly visible.</t>
        </is>
      </c>
    </row>
    <row r="26">
      <c r="A26" s="3" t="inlineStr">
        <is>
          <t>walkthrough_clarity</t>
        </is>
      </c>
      <c r="B26" s="3" t="inlineStr">
        <is>
          <t>Walkthrough Clarity</t>
        </is>
      </c>
      <c r="C26" s="3" t="inlineStr">
        <is>
          <t>video</t>
        </is>
      </c>
      <c r="D26" s="3" t="n">
        <v>10</v>
      </c>
      <c r="E26" s="3" t="inlineStr">
        <is>
          <t>Proficient</t>
        </is>
      </c>
      <c r="F26" s="3" t="n">
        <v>7</v>
      </c>
      <c r="G26" s="11" t="inlineStr">
        <is>
          <t>Generally clear; minor pacing or visibility issues.</t>
        </is>
      </c>
    </row>
    <row r="27">
      <c r="A27" s="3" t="inlineStr">
        <is>
          <t>walkthrough_clarity</t>
        </is>
      </c>
      <c r="B27" s="3" t="inlineStr">
        <is>
          <t>Walkthrough Clarity</t>
        </is>
      </c>
      <c r="C27" s="3" t="inlineStr">
        <is>
          <t>video</t>
        </is>
      </c>
      <c r="D27" s="3" t="n">
        <v>10</v>
      </c>
      <c r="E27" s="3" t="inlineStr">
        <is>
          <t>Developing</t>
        </is>
      </c>
      <c r="F27" s="3" t="n">
        <v>3</v>
      </c>
      <c r="G27" s="11" t="inlineStr">
        <is>
          <t>Hard to follow, inaudible in parts, or far over/under time.</t>
        </is>
      </c>
    </row>
    <row r="28">
      <c r="A28" s="3" t="inlineStr">
        <is>
          <t>walkthrough_clarity</t>
        </is>
      </c>
      <c r="B28" s="3" t="inlineStr">
        <is>
          <t>Walkthrough Clarity</t>
        </is>
      </c>
      <c r="C28" s="3" t="inlineStr">
        <is>
          <t>video</t>
        </is>
      </c>
      <c r="D28" s="3" t="n">
        <v>10</v>
      </c>
      <c r="E28" s="3" t="inlineStr">
        <is>
          <t>Missing</t>
        </is>
      </c>
      <c r="F28" s="3" t="n">
        <v>0</v>
      </c>
      <c r="G28" s="11" t="inlineStr">
        <is>
          <t>No usable video.</t>
        </is>
      </c>
    </row>
    <row r="29">
      <c r="A29" s="3" t="inlineStr">
        <is>
          <t>authenticity</t>
        </is>
      </c>
      <c r="B29" s="3" t="inlineStr">
        <is>
          <t>Video Matches Notebook</t>
        </is>
      </c>
      <c r="C29" s="3" t="inlineStr">
        <is>
          <t>both</t>
        </is>
      </c>
      <c r="D29" s="3" t="n">
        <v>10</v>
      </c>
      <c r="E29" s="3" t="inlineStr">
        <is>
          <t>Consistent</t>
        </is>
      </c>
      <c r="F29" s="3" t="n">
        <v>10</v>
      </c>
      <c r="G29" s="11" t="inlineStr">
        <is>
          <t>The notebook on screen is the submitted one and the student explains its specific code and results.</t>
        </is>
      </c>
    </row>
    <row r="30">
      <c r="A30" s="3" t="inlineStr">
        <is>
          <t>authenticity</t>
        </is>
      </c>
      <c r="B30" s="3" t="inlineStr">
        <is>
          <t>Video Matches Notebook</t>
        </is>
      </c>
      <c r="C30" s="3" t="inlineStr">
        <is>
          <t>both</t>
        </is>
      </c>
      <c r="D30" s="3" t="n">
        <v>10</v>
      </c>
      <c r="E30" s="3" t="inlineStr">
        <is>
          <t>Partial</t>
        </is>
      </c>
      <c r="F30" s="3" t="n">
        <v>5</v>
      </c>
      <c r="G30" s="11" t="inlineStr">
        <is>
          <t>Mostly matches, but some submitted cells are skipped or explained generically.</t>
        </is>
      </c>
    </row>
    <row r="31">
      <c r="A31" s="3" t="inlineStr">
        <is>
          <t>authenticity</t>
        </is>
      </c>
      <c r="B31" s="3" t="inlineStr">
        <is>
          <t>Video Matches Notebook</t>
        </is>
      </c>
      <c r="C31" s="3" t="inlineStr">
        <is>
          <t>both</t>
        </is>
      </c>
      <c r="D31" s="3" t="n">
        <v>10</v>
      </c>
      <c r="E31" s="3" t="inlineStr">
        <is>
          <t>Mismatch</t>
        </is>
      </c>
      <c r="F31" s="3" t="n">
        <v>0</v>
      </c>
      <c r="G31" s="11" t="inlineStr">
        <is>
          <t>Video shows a different notebook or cannot explain the submitted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2026-10-08T18:08:13Z</dcterms:created>
  <dcterms:modified xsi:type="dcterms:W3CDTF">2026-10-08T18:08:14Z</dcterms:modified>
</cp:coreProperties>
</file>